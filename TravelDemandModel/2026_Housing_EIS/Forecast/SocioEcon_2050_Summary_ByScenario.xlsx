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Econ_2050_Summary" sheetId="1" state="visible" r:id="rId1"/>
    <sheet xmlns:r="http://schemas.openxmlformats.org/officeDocument/2006/relationships" name="Income_Pct_by_Sce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1" customWidth="1" min="10" max="10"/>
    <col width="11" customWidth="1" min="11" max="11"/>
  </cols>
  <sheetData>
    <row r="1">
      <c r="A1" s="1" t="n"/>
      <c r="B1" s="1" t="n"/>
      <c r="C1" s="1" t="n"/>
      <c r="D1" s="1" t="n"/>
      <c r="E1" s="1" t="n"/>
      <c r="F1" s="2" t="inlineStr">
        <is>
          <t>Absolute Difference</t>
        </is>
      </c>
      <c r="I1" s="2" t="inlineStr">
        <is>
          <t>% Difference</t>
        </is>
      </c>
    </row>
    <row r="2">
      <c r="A2" s="1" t="inlineStr">
        <is>
          <t>variable</t>
        </is>
      </c>
      <c r="B2" s="1" t="inlineStr">
        <is>
          <t>scenario_1_sum</t>
        </is>
      </c>
      <c r="C2" s="1" t="inlineStr">
        <is>
          <t>scenario_2_sum</t>
        </is>
      </c>
      <c r="D2" s="1" t="inlineStr">
        <is>
          <t>scenario_3_sum</t>
        </is>
      </c>
      <c r="E2" s="1" t="inlineStr">
        <is>
          <t>scenario_4_sum</t>
        </is>
      </c>
      <c r="F2" s="1" t="inlineStr">
        <is>
          <t>diff_2_vs_1</t>
        </is>
      </c>
      <c r="G2" s="1" t="inlineStr">
        <is>
          <t>diff_3_vs_1</t>
        </is>
      </c>
      <c r="H2" s="1" t="inlineStr">
        <is>
          <t>diff_4_vs_1</t>
        </is>
      </c>
      <c r="I2" s="1" t="n">
        <v>2</v>
      </c>
      <c r="J2" s="1" t="n">
        <v>3</v>
      </c>
      <c r="K2" s="1" t="n">
        <v>4</v>
      </c>
    </row>
    <row r="3">
      <c r="A3" t="inlineStr">
        <is>
          <t>total_residential_units</t>
        </is>
      </c>
      <c r="B3" t="n">
        <v>54331</v>
      </c>
      <c r="C3" t="n">
        <v>58608</v>
      </c>
      <c r="D3" t="n">
        <v>54331</v>
      </c>
      <c r="E3" t="n">
        <v>54915</v>
      </c>
      <c r="F3" t="n">
        <v>4277</v>
      </c>
      <c r="G3" t="n">
        <v>0</v>
      </c>
      <c r="H3" t="n">
        <v>584</v>
      </c>
      <c r="I3" s="3">
        <f>F3/$B3</f>
        <v/>
      </c>
      <c r="J3" s="3">
        <f>G3/$B3</f>
        <v/>
      </c>
      <c r="K3" s="3">
        <f>H3/$B3</f>
        <v/>
      </c>
    </row>
    <row r="4">
      <c r="A4" t="inlineStr">
        <is>
          <t>total_occ_units</t>
        </is>
      </c>
      <c r="B4" t="n">
        <v>26116</v>
      </c>
      <c r="C4" t="n">
        <v>31106</v>
      </c>
      <c r="D4" t="n">
        <v>29687</v>
      </c>
      <c r="E4" t="n">
        <v>26713</v>
      </c>
      <c r="F4" t="n">
        <v>4990</v>
      </c>
      <c r="G4" t="n">
        <v>3571</v>
      </c>
      <c r="H4" t="n">
        <v>597</v>
      </c>
      <c r="I4" s="3">
        <f>F4/$B4</f>
        <v/>
      </c>
      <c r="J4" s="3">
        <f>G4/$B4</f>
        <v/>
      </c>
      <c r="K4" s="3">
        <f>H4/$B4</f>
        <v/>
      </c>
    </row>
    <row r="5">
      <c r="A5" t="inlineStr">
        <is>
          <t>occ_units_low_inc</t>
        </is>
      </c>
      <c r="B5" t="n">
        <v>11151</v>
      </c>
      <c r="C5" t="n">
        <v>13076</v>
      </c>
      <c r="D5" t="n">
        <v>11145</v>
      </c>
      <c r="E5" t="n">
        <v>11354</v>
      </c>
      <c r="F5" t="n">
        <v>1925</v>
      </c>
      <c r="G5" t="n">
        <v>-6</v>
      </c>
      <c r="H5" t="n">
        <v>203</v>
      </c>
      <c r="I5" s="3">
        <f>F5/$B5</f>
        <v/>
      </c>
      <c r="J5" s="3">
        <f>G5/$B5</f>
        <v/>
      </c>
      <c r="K5" s="3">
        <f>H5/$B5</f>
        <v/>
      </c>
    </row>
    <row r="6">
      <c r="A6" t="inlineStr">
        <is>
          <t>occ_units_med_inc</t>
        </is>
      </c>
      <c r="B6" t="n">
        <v>5071</v>
      </c>
      <c r="C6" t="n">
        <v>6362</v>
      </c>
      <c r="D6" t="n">
        <v>7030</v>
      </c>
      <c r="E6" t="n">
        <v>5384</v>
      </c>
      <c r="F6" t="n">
        <v>1291</v>
      </c>
      <c r="G6" t="n">
        <v>1959</v>
      </c>
      <c r="H6" t="n">
        <v>313</v>
      </c>
      <c r="I6" s="3">
        <f>F6/$B6</f>
        <v/>
      </c>
      <c r="J6" s="3">
        <f>G6/$B6</f>
        <v/>
      </c>
      <c r="K6" s="3">
        <f>H6/$B6</f>
        <v/>
      </c>
    </row>
    <row r="7">
      <c r="A7" t="inlineStr">
        <is>
          <t>occ_units_high_inc</t>
        </is>
      </c>
      <c r="B7" t="n">
        <v>9881</v>
      </c>
      <c r="C7" t="n">
        <v>11661</v>
      </c>
      <c r="D7" t="n">
        <v>11512</v>
      </c>
      <c r="E7" t="n">
        <v>9975</v>
      </c>
      <c r="F7" t="n">
        <v>1780</v>
      </c>
      <c r="G7" t="n">
        <v>1631</v>
      </c>
      <c r="H7" t="n">
        <v>94</v>
      </c>
      <c r="I7" s="3">
        <f>F7/$B7</f>
        <v/>
      </c>
      <c r="J7" s="3">
        <f>G7/$B7</f>
        <v/>
      </c>
      <c r="K7" s="3">
        <f>H7/$B7</f>
        <v/>
      </c>
    </row>
    <row r="8">
      <c r="A8" t="inlineStr">
        <is>
          <t>total_persons</t>
        </is>
      </c>
      <c r="B8" t="n">
        <v>57613</v>
      </c>
      <c r="C8" t="n">
        <v>68474</v>
      </c>
      <c r="D8" t="n">
        <v>65482</v>
      </c>
      <c r="E8" t="n">
        <v>58896</v>
      </c>
      <c r="F8" t="n">
        <v>10861</v>
      </c>
      <c r="G8" t="n">
        <v>7869</v>
      </c>
      <c r="H8" t="n">
        <v>1283</v>
      </c>
      <c r="I8" s="3">
        <f>F8/$B8</f>
        <v/>
      </c>
      <c r="J8" s="3">
        <f>G8/$B8</f>
        <v/>
      </c>
      <c r="K8" s="3">
        <f>H8/$B8</f>
        <v/>
      </c>
    </row>
    <row r="9">
      <c r="A9" t="inlineStr">
        <is>
          <t>emp_retail</t>
        </is>
      </c>
      <c r="B9" t="n">
        <v>3855</v>
      </c>
      <c r="C9" t="n">
        <v>3855</v>
      </c>
      <c r="D9" t="n">
        <v>3855</v>
      </c>
      <c r="E9" t="n">
        <v>3855</v>
      </c>
      <c r="F9" t="n">
        <v>0</v>
      </c>
      <c r="G9" t="n">
        <v>0</v>
      </c>
      <c r="H9" t="n">
        <v>0</v>
      </c>
      <c r="I9" s="3">
        <f>F9/$B9</f>
        <v/>
      </c>
      <c r="J9" s="3">
        <f>G9/$B9</f>
        <v/>
      </c>
      <c r="K9" s="3">
        <f>H9/$B9</f>
        <v/>
      </c>
    </row>
    <row r="10">
      <c r="A10" t="inlineStr">
        <is>
          <t>emp_srvc</t>
        </is>
      </c>
      <c r="B10" t="n">
        <v>7777</v>
      </c>
      <c r="C10" t="n">
        <v>7777</v>
      </c>
      <c r="D10" t="n">
        <v>7777</v>
      </c>
      <c r="E10" t="n">
        <v>7777</v>
      </c>
      <c r="F10" t="n">
        <v>0</v>
      </c>
      <c r="G10" t="n">
        <v>0</v>
      </c>
      <c r="H10" t="n">
        <v>0</v>
      </c>
      <c r="I10" s="3">
        <f>F10/$B10</f>
        <v/>
      </c>
      <c r="J10" s="3">
        <f>G10/$B10</f>
        <v/>
      </c>
      <c r="K10" s="3">
        <f>H10/$B10</f>
        <v/>
      </c>
    </row>
    <row r="11">
      <c r="A11" t="inlineStr">
        <is>
          <t>emp_rec</t>
        </is>
      </c>
      <c r="B11" t="n">
        <v>2318</v>
      </c>
      <c r="C11" t="n">
        <v>2318</v>
      </c>
      <c r="D11" t="n">
        <v>2318</v>
      </c>
      <c r="E11" t="n">
        <v>2318</v>
      </c>
      <c r="F11" t="n">
        <v>0</v>
      </c>
      <c r="G11" t="n">
        <v>0</v>
      </c>
      <c r="H11" t="n">
        <v>0</v>
      </c>
      <c r="I11" s="3">
        <f>F11/$B11</f>
        <v/>
      </c>
      <c r="J11" s="3">
        <f>G11/$B11</f>
        <v/>
      </c>
      <c r="K11" s="3">
        <f>H11/$B11</f>
        <v/>
      </c>
    </row>
    <row r="12">
      <c r="A12" t="inlineStr">
        <is>
          <t>emp_game</t>
        </is>
      </c>
      <c r="B12" t="n">
        <v>2598</v>
      </c>
      <c r="C12" t="n">
        <v>2598</v>
      </c>
      <c r="D12" t="n">
        <v>2598</v>
      </c>
      <c r="E12" t="n">
        <v>2598</v>
      </c>
      <c r="F12" t="n">
        <v>0</v>
      </c>
      <c r="G12" t="n">
        <v>0</v>
      </c>
      <c r="H12" t="n">
        <v>0</v>
      </c>
      <c r="I12" s="3">
        <f>F12/$B12</f>
        <v/>
      </c>
      <c r="J12" s="3">
        <f>G12/$B12</f>
        <v/>
      </c>
      <c r="K12" s="3">
        <f>H12/$B12</f>
        <v/>
      </c>
    </row>
    <row r="13">
      <c r="A13" t="inlineStr">
        <is>
          <t>emp_other</t>
        </is>
      </c>
      <c r="B13" t="n">
        <v>11032</v>
      </c>
      <c r="C13" t="n">
        <v>11032</v>
      </c>
      <c r="D13" t="n">
        <v>11032</v>
      </c>
      <c r="E13" t="n">
        <v>11032</v>
      </c>
      <c r="F13" t="n">
        <v>0</v>
      </c>
      <c r="G13" t="n">
        <v>0</v>
      </c>
      <c r="H13" t="n">
        <v>0</v>
      </c>
      <c r="I13" s="3">
        <f>F13/$B13</f>
        <v/>
      </c>
      <c r="J13" s="3">
        <f>G13/$B13</f>
        <v/>
      </c>
      <c r="K13" s="3">
        <f>H13/$B13</f>
        <v/>
      </c>
    </row>
  </sheetData>
  <mergeCells count="2"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0" customWidth="1" min="4" max="4"/>
    <col width="21" customWidth="1" min="5" max="5"/>
  </cols>
  <sheetData>
    <row r="1">
      <c r="A1" s="1" t="inlineStr">
        <is>
          <t>income_category</t>
        </is>
      </c>
      <c r="B1" s="1" t="inlineStr">
        <is>
          <t>scenario_1</t>
        </is>
      </c>
      <c r="C1" s="1" t="inlineStr">
        <is>
          <t>scenario_2</t>
        </is>
      </c>
      <c r="D1" s="1" t="inlineStr">
        <is>
          <t>scenario_3</t>
        </is>
      </c>
      <c r="E1" s="1" t="inlineStr">
        <is>
          <t>scenario_4</t>
        </is>
      </c>
    </row>
    <row r="2">
      <c r="A2" t="inlineStr">
        <is>
          <t>% Low Income</t>
        </is>
      </c>
      <c r="B2" s="3" t="n">
        <v>0.4271922767497989</v>
      </c>
      <c r="C2" s="3" t="n">
        <v>0.4204636805041963</v>
      </c>
      <c r="D2" s="3" t="n">
        <v>0.37541684912588</v>
      </c>
      <c r="E2" s="3" t="n">
        <v>0.4250364990828436</v>
      </c>
    </row>
    <row r="3">
      <c r="A3" t="inlineStr">
        <is>
          <t>% Middle Income</t>
        </is>
      </c>
      <c r="B3" s="3" t="n">
        <v>0.1942688579856721</v>
      </c>
      <c r="C3" s="3" t="n">
        <v>0.204572494292421</v>
      </c>
      <c r="D3" s="3" t="n">
        <v>0.2368039882776973</v>
      </c>
      <c r="E3" s="3" t="n">
        <v>0.2015498072099727</v>
      </c>
    </row>
    <row r="4">
      <c r="A4" t="inlineStr">
        <is>
          <t>% High Income</t>
        </is>
      </c>
      <c r="B4" s="3" t="n">
        <v>0.378538865264529</v>
      </c>
      <c r="C4" s="3" t="n">
        <v>0.3749638252033827</v>
      </c>
      <c r="D4" s="3" t="n">
        <v>0.3877791625964227</v>
      </c>
      <c r="E4" s="3" t="n">
        <v>0.3734136937071837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2026-04-17T18:59:30Z</dcterms:created>
  <dcterms:modified xmlns:dcterms="http://purl.org/dc/terms/" xmlns:xsi="http://www.w3.org/2001/XMLSchema-instance" xsi:type="dcterms:W3CDTF">2026-04-17T18:59:30Z</dcterms:modified>
</cp:coreProperties>
</file>