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mcclary\Documents\GitHub\Transportation\TravelDemandModel\2026_Housing_EIS\Forecast\"/>
    </mc:Choice>
  </mc:AlternateContent>
  <xr:revisionPtr revIDLastSave="0" documentId="13_ncr:1_{1F0FABD8-27B1-4728-89D1-14987D6C82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ocioEcon_2050_Summary" sheetId="1" r:id="rId1"/>
    <sheet name="Income_Pct_by_Scen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" l="1"/>
  <c r="S14" i="1"/>
  <c r="Q17" i="1"/>
  <c r="Q14" i="1"/>
  <c r="S7" i="1"/>
  <c r="S8" i="1"/>
  <c r="S9" i="1"/>
  <c r="S6" i="1"/>
  <c r="K13" i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K8" i="1"/>
  <c r="J8" i="1"/>
  <c r="I8" i="1"/>
  <c r="K7" i="1"/>
  <c r="J7" i="1"/>
  <c r="I7" i="1"/>
  <c r="K6" i="1"/>
  <c r="J6" i="1"/>
  <c r="I6" i="1"/>
  <c r="K5" i="1"/>
  <c r="J5" i="1"/>
  <c r="I5" i="1"/>
  <c r="K4" i="1"/>
  <c r="J4" i="1"/>
  <c r="I4" i="1"/>
  <c r="K3" i="1"/>
  <c r="J3" i="1"/>
  <c r="I3" i="1"/>
</calcChain>
</file>

<file path=xl/sharedStrings.xml><?xml version="1.0" encoding="utf-8"?>
<sst xmlns="http://schemas.openxmlformats.org/spreadsheetml/2006/main" count="46" uniqueCount="46">
  <si>
    <t>Absolute Difference</t>
  </si>
  <si>
    <t>% Difference</t>
  </si>
  <si>
    <t>variable</t>
  </si>
  <si>
    <t>scenario_1_sum</t>
  </si>
  <si>
    <t>scenario_2_sum</t>
  </si>
  <si>
    <t>scenario_3_sum</t>
  </si>
  <si>
    <t>scenario_4_sum</t>
  </si>
  <si>
    <t>diff_2_vs_1</t>
  </si>
  <si>
    <t>diff_3_vs_1</t>
  </si>
  <si>
    <t>diff_4_vs_1</t>
  </si>
  <si>
    <t>total_residential_units</t>
  </si>
  <si>
    <t>total_occ_units</t>
  </si>
  <si>
    <t>occ_units_low_inc</t>
  </si>
  <si>
    <t>occ_units_med_inc</t>
  </si>
  <si>
    <t>occ_units_high_inc</t>
  </si>
  <si>
    <t>total_persons</t>
  </si>
  <si>
    <t>emp_retail</t>
  </si>
  <si>
    <t>emp_srvc</t>
  </si>
  <si>
    <t>emp_rec</t>
  </si>
  <si>
    <t>emp_game</t>
  </si>
  <si>
    <t>emp_other</t>
  </si>
  <si>
    <t>income_category</t>
  </si>
  <si>
    <t>scenario_1</t>
  </si>
  <si>
    <t>scenario_2</t>
  </si>
  <si>
    <t>scenario_3</t>
  </si>
  <si>
    <t>scenario_4</t>
  </si>
  <si>
    <t>% Low Income</t>
  </si>
  <si>
    <t>% Middle Income</t>
  </si>
  <si>
    <t>% High Income</t>
  </si>
  <si>
    <t>Scenario</t>
  </si>
  <si>
    <t>Total Employment</t>
  </si>
  <si>
    <t>Resident Workers Placed</t>
  </si>
  <si>
    <t>Surplus/Deficit</t>
  </si>
  <si>
    <t>alt_4_2035 (success)</t>
  </si>
  <si>
    <t>alt_2_2050 (fail)</t>
  </si>
  <si>
    <t>alt_3_2035 (fail)</t>
  </si>
  <si>
    <t>alt_3_2050 (fail)</t>
  </si>
  <si>
    <t>+508 (jobs to fill)</t>
  </si>
  <si>
    <t>-5,426 (workers exceed jobs)</t>
  </si>
  <si>
    <t>-4,042 (workers exceed jobs)</t>
  </si>
  <si>
    <t>-4,758 (workers exceed jobs)</t>
  </si>
  <si>
    <t>Resident</t>
  </si>
  <si>
    <t>We need to know</t>
  </si>
  <si>
    <t>occupancy rate</t>
  </si>
  <si>
    <t>persons per household</t>
  </si>
  <si>
    <t>target 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</si>
</sst>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"/>
  <sheetViews>
    <sheetView tabSelected="1" topLeftCell="B1" workbookViewId="0">
      <selection activeCell="M22" sqref="M22"/>
    </sheetView>
  </sheetViews>
  <sheetFormatPr defaultRowHeight="15" x14ac:dyDescent="0.25"/>
  <cols>
    <col min="1" max="1" width="25" customWidth="1"/>
    <col min="2" max="5" width="16" customWidth="1"/>
    <col min="6" max="6" width="21" customWidth="1"/>
    <col min="7" max="8" width="13" customWidth="1"/>
    <col min="9" max="9" width="14" customWidth="1"/>
    <col min="10" max="11" width="11" customWidth="1"/>
    <col min="14" max="14" width="21.7109375" bestFit="1" customWidth="1"/>
    <col min="16" max="16" width="23.42578125" bestFit="1" customWidth="1"/>
    <col min="17" max="17" width="26.85546875" bestFit="1" customWidth="1"/>
  </cols>
  <sheetData>
    <row r="1" spans="1:19" x14ac:dyDescent="0.25">
      <c r="A1" s="1"/>
      <c r="B1" s="1"/>
      <c r="C1" s="1"/>
      <c r="D1" s="1"/>
      <c r="E1" s="1"/>
      <c r="F1" s="3" t="s">
        <v>0</v>
      </c>
      <c r="G1" s="4"/>
      <c r="H1" s="4"/>
      <c r="I1" s="3" t="s">
        <v>1</v>
      </c>
      <c r="J1" s="4"/>
      <c r="K1" s="4"/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>
        <v>2</v>
      </c>
      <c r="J2" s="1">
        <v>3</v>
      </c>
      <c r="K2" s="1">
        <v>4</v>
      </c>
    </row>
    <row r="3" spans="1:19" x14ac:dyDescent="0.25">
      <c r="A3" t="s">
        <v>10</v>
      </c>
      <c r="B3">
        <v>54331</v>
      </c>
      <c r="C3">
        <v>58608</v>
      </c>
      <c r="D3">
        <v>54331</v>
      </c>
      <c r="E3">
        <v>54915</v>
      </c>
      <c r="F3">
        <v>4277</v>
      </c>
      <c r="G3">
        <v>0</v>
      </c>
      <c r="H3">
        <v>584</v>
      </c>
      <c r="I3" s="2">
        <f t="shared" ref="I3:I13" si="0">F3/$B3</f>
        <v>7.8721172074874377E-2</v>
      </c>
      <c r="J3" s="2">
        <f t="shared" ref="J3:J13" si="1">G3/$B3</f>
        <v>0</v>
      </c>
      <c r="K3" s="2">
        <f t="shared" ref="K3:K13" si="2">H3/$B3</f>
        <v>1.0748927868067954E-2</v>
      </c>
    </row>
    <row r="4" spans="1:19" x14ac:dyDescent="0.25">
      <c r="A4" t="s">
        <v>11</v>
      </c>
      <c r="B4">
        <v>26116</v>
      </c>
      <c r="C4">
        <v>31106</v>
      </c>
      <c r="D4">
        <v>29687</v>
      </c>
      <c r="E4">
        <v>26713</v>
      </c>
      <c r="F4">
        <v>4990</v>
      </c>
      <c r="G4">
        <v>3571</v>
      </c>
      <c r="H4">
        <v>597</v>
      </c>
      <c r="I4" s="2">
        <f t="shared" si="0"/>
        <v>0.19107060805636392</v>
      </c>
      <c r="J4" s="2">
        <f t="shared" si="1"/>
        <v>0.13673610047480472</v>
      </c>
      <c r="K4" s="2">
        <f t="shared" si="2"/>
        <v>2.2859549701332516E-2</v>
      </c>
    </row>
    <row r="5" spans="1:19" x14ac:dyDescent="0.25">
      <c r="A5" t="s">
        <v>12</v>
      </c>
      <c r="B5">
        <v>11151</v>
      </c>
      <c r="C5">
        <v>13076</v>
      </c>
      <c r="D5">
        <v>11145</v>
      </c>
      <c r="E5">
        <v>11354</v>
      </c>
      <c r="F5">
        <v>1925</v>
      </c>
      <c r="G5">
        <v>-6</v>
      </c>
      <c r="H5">
        <v>203</v>
      </c>
      <c r="I5" s="2">
        <f t="shared" si="0"/>
        <v>0.17263025737602009</v>
      </c>
      <c r="J5" s="2">
        <f t="shared" si="1"/>
        <v>-5.3806833467850415E-4</v>
      </c>
      <c r="K5" s="2">
        <f t="shared" si="2"/>
        <v>1.820464532328939E-2</v>
      </c>
      <c r="N5" t="s">
        <v>29</v>
      </c>
      <c r="O5" t="s">
        <v>30</v>
      </c>
      <c r="P5" t="s">
        <v>31</v>
      </c>
      <c r="Q5" t="s">
        <v>32</v>
      </c>
    </row>
    <row r="6" spans="1:19" x14ac:dyDescent="0.25">
      <c r="A6" t="s">
        <v>13</v>
      </c>
      <c r="B6">
        <v>5071</v>
      </c>
      <c r="C6">
        <v>6362</v>
      </c>
      <c r="D6">
        <v>7030</v>
      </c>
      <c r="E6">
        <v>5384</v>
      </c>
      <c r="F6">
        <v>1291</v>
      </c>
      <c r="G6">
        <v>1959</v>
      </c>
      <c r="H6">
        <v>313</v>
      </c>
      <c r="I6" s="2">
        <f t="shared" si="0"/>
        <v>0.2545848944981266</v>
      </c>
      <c r="J6" s="2">
        <f t="shared" si="1"/>
        <v>0.38631433642279628</v>
      </c>
      <c r="K6" s="2">
        <f t="shared" si="2"/>
        <v>6.1723525931768879E-2</v>
      </c>
      <c r="N6" t="s">
        <v>33</v>
      </c>
      <c r="O6" s="5">
        <v>27150</v>
      </c>
      <c r="P6" s="5">
        <v>26642</v>
      </c>
      <c r="Q6" t="s">
        <v>37</v>
      </c>
      <c r="R6">
        <v>56086</v>
      </c>
      <c r="S6">
        <f>P6/R6</f>
        <v>0.47502050422565345</v>
      </c>
    </row>
    <row r="7" spans="1:19" x14ac:dyDescent="0.25">
      <c r="A7" t="s">
        <v>14</v>
      </c>
      <c r="B7">
        <v>9881</v>
      </c>
      <c r="C7">
        <v>11661</v>
      </c>
      <c r="D7">
        <v>11512</v>
      </c>
      <c r="E7">
        <v>9975</v>
      </c>
      <c r="F7">
        <v>1780</v>
      </c>
      <c r="G7">
        <v>1631</v>
      </c>
      <c r="H7">
        <v>94</v>
      </c>
      <c r="I7" s="2">
        <f t="shared" si="0"/>
        <v>0.18014371015079444</v>
      </c>
      <c r="J7" s="2">
        <f t="shared" si="1"/>
        <v>0.16506426475053132</v>
      </c>
      <c r="K7" s="2">
        <f t="shared" si="2"/>
        <v>9.5132071652666728E-3</v>
      </c>
      <c r="N7" t="s">
        <v>34</v>
      </c>
      <c r="O7" s="5">
        <v>27580</v>
      </c>
      <c r="P7" s="5">
        <v>33006</v>
      </c>
      <c r="Q7" t="s">
        <v>38</v>
      </c>
      <c r="R7">
        <v>68474</v>
      </c>
      <c r="S7">
        <f t="shared" ref="S7:S9" si="3">P7/R7</f>
        <v>0.48202237345561821</v>
      </c>
    </row>
    <row r="8" spans="1:19" x14ac:dyDescent="0.25">
      <c r="A8" t="s">
        <v>15</v>
      </c>
      <c r="B8">
        <v>57613</v>
      </c>
      <c r="C8">
        <v>68474</v>
      </c>
      <c r="D8">
        <v>65482</v>
      </c>
      <c r="E8">
        <v>58896</v>
      </c>
      <c r="F8">
        <v>10861</v>
      </c>
      <c r="G8">
        <v>7869</v>
      </c>
      <c r="H8">
        <v>1283</v>
      </c>
      <c r="I8" s="2">
        <f t="shared" si="0"/>
        <v>0.18851648065540763</v>
      </c>
      <c r="J8" s="2">
        <f t="shared" si="1"/>
        <v>0.13658375713814591</v>
      </c>
      <c r="K8" s="2">
        <f t="shared" si="2"/>
        <v>2.2269279502889972E-2</v>
      </c>
      <c r="N8" t="s">
        <v>35</v>
      </c>
      <c r="O8" s="5">
        <v>27150</v>
      </c>
      <c r="P8" s="5">
        <v>31192</v>
      </c>
      <c r="Q8" t="s">
        <v>39</v>
      </c>
      <c r="R8">
        <v>63691</v>
      </c>
      <c r="S8">
        <f t="shared" si="3"/>
        <v>0.48973952363756262</v>
      </c>
    </row>
    <row r="9" spans="1:19" x14ac:dyDescent="0.25">
      <c r="A9" t="s">
        <v>16</v>
      </c>
      <c r="B9">
        <v>3855</v>
      </c>
      <c r="C9">
        <v>3855</v>
      </c>
      <c r="D9">
        <v>3855</v>
      </c>
      <c r="E9">
        <v>3855</v>
      </c>
      <c r="F9">
        <v>0</v>
      </c>
      <c r="G9">
        <v>0</v>
      </c>
      <c r="H9">
        <v>0</v>
      </c>
      <c r="I9" s="2">
        <f t="shared" si="0"/>
        <v>0</v>
      </c>
      <c r="J9" s="2">
        <f t="shared" si="1"/>
        <v>0</v>
      </c>
      <c r="K9" s="2">
        <f t="shared" si="2"/>
        <v>0</v>
      </c>
      <c r="N9" t="s">
        <v>36</v>
      </c>
      <c r="O9" s="5">
        <v>27580</v>
      </c>
      <c r="P9" s="5">
        <v>32338</v>
      </c>
      <c r="Q9" t="s">
        <v>40</v>
      </c>
      <c r="R9">
        <v>65482</v>
      </c>
      <c r="S9">
        <f t="shared" si="3"/>
        <v>0.49384563696893802</v>
      </c>
    </row>
    <row r="10" spans="1:19" x14ac:dyDescent="0.25">
      <c r="A10" t="s">
        <v>17</v>
      </c>
      <c r="B10">
        <v>7777</v>
      </c>
      <c r="C10">
        <v>7777</v>
      </c>
      <c r="D10">
        <v>7777</v>
      </c>
      <c r="E10">
        <v>7777</v>
      </c>
      <c r="F10">
        <v>0</v>
      </c>
      <c r="G10">
        <v>0</v>
      </c>
      <c r="H10">
        <v>0</v>
      </c>
      <c r="I10" s="2">
        <f t="shared" si="0"/>
        <v>0</v>
      </c>
      <c r="J10" s="2">
        <f t="shared" si="1"/>
        <v>0</v>
      </c>
      <c r="K10" s="2">
        <f t="shared" si="2"/>
        <v>0</v>
      </c>
    </row>
    <row r="11" spans="1:19" x14ac:dyDescent="0.25">
      <c r="A11" t="s">
        <v>18</v>
      </c>
      <c r="B11">
        <v>2318</v>
      </c>
      <c r="C11">
        <v>2318</v>
      </c>
      <c r="D11">
        <v>2318</v>
      </c>
      <c r="E11">
        <v>2318</v>
      </c>
      <c r="F11">
        <v>0</v>
      </c>
      <c r="G11">
        <v>0</v>
      </c>
      <c r="H11">
        <v>0</v>
      </c>
      <c r="I11" s="2">
        <f t="shared" si="0"/>
        <v>0</v>
      </c>
      <c r="J11" s="2">
        <f t="shared" si="1"/>
        <v>0</v>
      </c>
      <c r="K11" s="2">
        <f t="shared" si="2"/>
        <v>0</v>
      </c>
    </row>
    <row r="12" spans="1:19" x14ac:dyDescent="0.25">
      <c r="A12" t="s">
        <v>19</v>
      </c>
      <c r="B12">
        <v>2598</v>
      </c>
      <c r="C12">
        <v>2598</v>
      </c>
      <c r="D12">
        <v>2598</v>
      </c>
      <c r="E12">
        <v>2598</v>
      </c>
      <c r="F12">
        <v>0</v>
      </c>
      <c r="G12">
        <v>0</v>
      </c>
      <c r="H12">
        <v>0</v>
      </c>
      <c r="I12" s="2">
        <f t="shared" si="0"/>
        <v>0</v>
      </c>
      <c r="J12" s="2">
        <f t="shared" si="1"/>
        <v>0</v>
      </c>
      <c r="K12" s="2">
        <f t="shared" si="2"/>
        <v>0</v>
      </c>
    </row>
    <row r="13" spans="1:19" x14ac:dyDescent="0.25">
      <c r="A13" t="s">
        <v>20</v>
      </c>
      <c r="B13">
        <v>11032</v>
      </c>
      <c r="C13">
        <v>11032</v>
      </c>
      <c r="D13">
        <v>11032</v>
      </c>
      <c r="E13">
        <v>11032</v>
      </c>
      <c r="F13">
        <v>0</v>
      </c>
      <c r="G13">
        <v>0</v>
      </c>
      <c r="H13">
        <v>0</v>
      </c>
      <c r="I13" s="2">
        <f t="shared" si="0"/>
        <v>0</v>
      </c>
      <c r="J13" s="2">
        <f t="shared" si="1"/>
        <v>0</v>
      </c>
      <c r="K13" s="2">
        <f t="shared" si="2"/>
        <v>0</v>
      </c>
    </row>
    <row r="14" spans="1:19" x14ac:dyDescent="0.25">
      <c r="A14" t="s">
        <v>41</v>
      </c>
      <c r="N14" t="s">
        <v>42</v>
      </c>
      <c r="P14">
        <v>27580</v>
      </c>
      <c r="Q14">
        <f>27580-300</f>
        <v>27280</v>
      </c>
      <c r="R14">
        <v>2139</v>
      </c>
      <c r="S14">
        <f>R14*0.18</f>
        <v>385.02</v>
      </c>
    </row>
    <row r="15" spans="1:19" x14ac:dyDescent="0.25">
      <c r="N15" t="s">
        <v>43</v>
      </c>
      <c r="O15">
        <v>0.35</v>
      </c>
    </row>
    <row r="16" spans="1:19" x14ac:dyDescent="0.25">
      <c r="N16" t="s">
        <v>44</v>
      </c>
      <c r="O16">
        <v>2.0299999999999998</v>
      </c>
    </row>
    <row r="17" spans="14:17" x14ac:dyDescent="0.25">
      <c r="N17" t="s">
        <v>45</v>
      </c>
      <c r="Q17">
        <f>Q14/0.48</f>
        <v>56833.333333333336</v>
      </c>
    </row>
    <row r="25" spans="14:17" x14ac:dyDescent="0.25">
      <c r="O25">
        <f>500/0.35</f>
        <v>1428.5714285714287</v>
      </c>
    </row>
  </sheetData>
  <mergeCells count="2">
    <mergeCell ref="F1:H1"/>
    <mergeCell ref="I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/>
  </sheetViews>
  <sheetFormatPr defaultRowHeight="15" x14ac:dyDescent="0.25"/>
  <cols>
    <col min="1" max="1" width="17" customWidth="1"/>
    <col min="2" max="3" width="21" customWidth="1"/>
    <col min="4" max="4" width="20" customWidth="1"/>
    <col min="5" max="5" width="21" customWidth="1"/>
  </cols>
  <sheetData>
    <row r="1" spans="1:5" x14ac:dyDescent="0.25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</row>
    <row r="2" spans="1:5" x14ac:dyDescent="0.25">
      <c r="A2" t="s">
        <v>26</v>
      </c>
      <c r="B2" s="2">
        <v>0.42719227674979893</v>
      </c>
      <c r="C2" s="2">
        <v>0.4204636805041963</v>
      </c>
      <c r="D2" s="2">
        <v>0.37541684912588003</v>
      </c>
      <c r="E2" s="2">
        <v>0.42503649908284358</v>
      </c>
    </row>
    <row r="3" spans="1:5" x14ac:dyDescent="0.25">
      <c r="A3" t="s">
        <v>27</v>
      </c>
      <c r="B3" s="2">
        <v>0.19426885798567209</v>
      </c>
      <c r="C3" s="2">
        <v>0.204572494292421</v>
      </c>
      <c r="D3" s="2">
        <v>0.2368039882776973</v>
      </c>
      <c r="E3" s="2">
        <v>0.2015498072099727</v>
      </c>
    </row>
    <row r="4" spans="1:5" x14ac:dyDescent="0.25">
      <c r="A4" t="s">
        <v>28</v>
      </c>
      <c r="B4" s="2">
        <v>0.37853886526452901</v>
      </c>
      <c r="C4" s="2">
        <v>0.37496382520338267</v>
      </c>
      <c r="D4" s="2">
        <v>0.3877791625964227</v>
      </c>
      <c r="E4" s="2">
        <v>0.37341369370718369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SocioEcon_2050_Summary</vt:lpstr>
      <vt:lpstr>Income_Pct_by_Scenario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McClary</cp:lastModifiedBy>
  <dcterms:created xsi:type="dcterms:W3CDTF">2026-04-17T18:59:30Z</dcterms:created>
  <dcterms:modified xsi:type="dcterms:W3CDTF">2026-04-20T20:41:11Z</dcterms:modified>
</cp:coreProperties>
</file>