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ahoeregionalplanning.sharepoint.com/sites/Transportation/Shared Documents/Transit/Tahoe Transit Study (COA)/4. Funding Implementation Memo/"/>
    </mc:Choice>
  </mc:AlternateContent>
  <xr:revisionPtr revIDLastSave="53" documentId="13_ncr:1_{53C798D8-E814-45D0-8A24-34C8D35E167F}" xr6:coauthVersionLast="47" xr6:coauthVersionMax="47" xr10:uidLastSave="{9CD1A17B-D4FC-4530-A188-9E2CFA4248C7}"/>
  <bookViews>
    <workbookView xWindow="-96" yWindow="-96" windowWidth="23232" windowHeight="13872" activeTab="1" xr2:uid="{212BC208-2895-4C9E-8A7D-176B590FDD26}"/>
  </bookViews>
  <sheets>
    <sheet name="VRH Rates" sheetId="3" r:id="rId1"/>
    <sheet name="costs" sheetId="2" r:id="rId2"/>
    <sheet name="Example" sheetId="1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\A">#REF!</definedName>
    <definedName name="\B">#REF!</definedName>
    <definedName name="\C">#REF!</definedName>
    <definedName name="\D">#REF!</definedName>
    <definedName name="\E">#REF!</definedName>
    <definedName name="\F">#REF!</definedName>
    <definedName name="\G">#REF!</definedName>
    <definedName name="\H">#REF!</definedName>
    <definedName name="\I">#REF!</definedName>
    <definedName name="\J">#REF!</definedName>
    <definedName name="\K">#REF!</definedName>
    <definedName name="\L">#REF!</definedName>
    <definedName name="\M">'[1]RT 21'!#REF!</definedName>
    <definedName name="\MM">'[1]RT 21'!#REF!</definedName>
    <definedName name="\P">'[1]RT 21'!#REF!</definedName>
    <definedName name="\PP">'[1]RT 21'!#REF!</definedName>
    <definedName name="\S">'[1]RT 21'!#REF!</definedName>
    <definedName name="\SS">'[1]RT 21'!#REF!</definedName>
    <definedName name="____________________________JUL11">'[2]FY03-04 Budget'!#REF!</definedName>
    <definedName name="____________________________JUL29">'[2]FY03-04 Budget'!#REF!</definedName>
    <definedName name="____________________________JUL34">'[2]FY03-04 Budget'!#REF!</definedName>
    <definedName name="____________________________JUN30">'[2]FY03-04 Budget'!#REF!</definedName>
    <definedName name="____________________________JUN36">'[2]FY03-04 Budget'!#REF!</definedName>
    <definedName name="____________________________MAY10">'[3]MAY '!$E$10</definedName>
    <definedName name="____________________________MAY11">'[3]MAY '!$E$11</definedName>
    <definedName name="____________________________MAY14">'[3]MAY '!$E$14</definedName>
    <definedName name="____________________________MAY15">'[3]MAY '!$E$15</definedName>
    <definedName name="____________________________MAY16">'[3]MAY '!$E$16</definedName>
    <definedName name="____________________________MAY17">'[3]MAY '!$E$17</definedName>
    <definedName name="____________________________MAY18">'[3]MAY '!$E$18</definedName>
    <definedName name="____________________________MAY19">'[3]MAY '!$E$19</definedName>
    <definedName name="____________________________MAY20">'[3]MAY '!$E$20</definedName>
    <definedName name="____________________________MAY21">'[3]MAY '!$E$21</definedName>
    <definedName name="____________________________MAY22">'[3]MAY '!$E$22</definedName>
    <definedName name="____________________________MAY23">'[3]MAY '!$E$23</definedName>
    <definedName name="____________________________MAY24">'[3]MAY '!$E$24</definedName>
    <definedName name="____________________________MAY25">'[3]MAY '!$E$25</definedName>
    <definedName name="____________________________MAY26">'[3]MAY '!$E$26</definedName>
    <definedName name="____________________________MAY27">'[3]MAY '!$E$27</definedName>
    <definedName name="____________________________MAY28">'[3]MAY '!$E$28</definedName>
    <definedName name="____________________________MAY30">'[3]MAY '!$E$30</definedName>
    <definedName name="____________________________MAY33">'[3]MAY '!$E$33</definedName>
    <definedName name="____________________________MAY34">'[3]MAY '!$E$34</definedName>
    <definedName name="____________________________MAY35">'[3]MAY '!$E$35</definedName>
    <definedName name="____________________________MAY4">'[3]MAY '!$E$4</definedName>
    <definedName name="____________________________MAY5">'[3]MAY '!$E$5</definedName>
    <definedName name="____________________________MAY6">'[3]MAY '!$E$6</definedName>
    <definedName name="____________________________MAY7">'[3]MAY '!$E$7</definedName>
    <definedName name="____________________________MAY8">'[3]MAY '!$E$8</definedName>
    <definedName name="____________________________MAY9">'[3]MAY '!$E$9</definedName>
    <definedName name="_____________________JUL11">'[2]FY03-04 Budget'!#REF!</definedName>
    <definedName name="_____________________JUL29">'[2]FY03-04 Budget'!#REF!</definedName>
    <definedName name="_____________________JUL34">'[2]FY03-04 Budget'!#REF!</definedName>
    <definedName name="_____________________JUN30">'[2]FY03-04 Budget'!#REF!</definedName>
    <definedName name="_____________________JUN36">'[2]FY03-04 Budget'!#REF!</definedName>
    <definedName name="_____________________MAY10">'[3]MAY '!$E$10</definedName>
    <definedName name="_____________________MAY11">'[3]MAY '!$E$11</definedName>
    <definedName name="_____________________MAY14">'[3]MAY '!$E$14</definedName>
    <definedName name="_____________________MAY15">'[3]MAY '!$E$15</definedName>
    <definedName name="_____________________MAY16">'[3]MAY '!$E$16</definedName>
    <definedName name="_____________________MAY17">'[3]MAY '!$E$17</definedName>
    <definedName name="_____________________MAY18">'[3]MAY '!$E$18</definedName>
    <definedName name="_____________________MAY19">'[3]MAY '!$E$19</definedName>
    <definedName name="_____________________MAY20">'[3]MAY '!$E$20</definedName>
    <definedName name="_____________________MAY21">'[3]MAY '!$E$21</definedName>
    <definedName name="_____________________MAY22">'[3]MAY '!$E$22</definedName>
    <definedName name="_____________________MAY23">'[3]MAY '!$E$23</definedName>
    <definedName name="_____________________MAY24">'[3]MAY '!$E$24</definedName>
    <definedName name="_____________________MAY25">'[3]MAY '!$E$25</definedName>
    <definedName name="_____________________MAY26">'[3]MAY '!$E$26</definedName>
    <definedName name="_____________________MAY27">'[3]MAY '!$E$27</definedName>
    <definedName name="_____________________MAY28">'[3]MAY '!$E$28</definedName>
    <definedName name="_____________________MAY30">'[3]MAY '!$E$30</definedName>
    <definedName name="_____________________MAY33">'[3]MAY '!$E$33</definedName>
    <definedName name="_____________________MAY34">'[3]MAY '!$E$34</definedName>
    <definedName name="_____________________MAY35">'[3]MAY '!$E$35</definedName>
    <definedName name="_____________________MAY4">'[3]MAY '!$E$4</definedName>
    <definedName name="_____________________MAY5">'[3]MAY '!$E$5</definedName>
    <definedName name="_____________________MAY6">'[3]MAY '!$E$6</definedName>
    <definedName name="_____________________MAY7">'[3]MAY '!$E$7</definedName>
    <definedName name="_____________________MAY8">'[3]MAY '!$E$8</definedName>
    <definedName name="_____________________MAY9">'[3]MAY '!$E$9</definedName>
    <definedName name="____________________JUL11">'[2]FY03-04 Budget'!#REF!</definedName>
    <definedName name="____________________JUL29">'[2]FY03-04 Budget'!#REF!</definedName>
    <definedName name="____________________JUL34">'[2]FY03-04 Budget'!#REF!</definedName>
    <definedName name="____________________JUN30">'[2]FY03-04 Budget'!#REF!</definedName>
    <definedName name="____________________JUN36">'[2]FY03-04 Budget'!#REF!</definedName>
    <definedName name="____________________MAY10">'[3]MAY '!$E$10</definedName>
    <definedName name="____________________MAY11">'[3]MAY '!$E$11</definedName>
    <definedName name="____________________MAY14">'[3]MAY '!$E$14</definedName>
    <definedName name="____________________MAY15">'[3]MAY '!$E$15</definedName>
    <definedName name="____________________MAY16">'[3]MAY '!$E$16</definedName>
    <definedName name="____________________MAY17">'[3]MAY '!$E$17</definedName>
    <definedName name="____________________MAY18">'[3]MAY '!$E$18</definedName>
    <definedName name="____________________MAY19">'[3]MAY '!$E$19</definedName>
    <definedName name="____________________MAY20">'[3]MAY '!$E$20</definedName>
    <definedName name="____________________MAY21">'[3]MAY '!$E$21</definedName>
    <definedName name="____________________MAY22">'[3]MAY '!$E$22</definedName>
    <definedName name="____________________MAY23">'[3]MAY '!$E$23</definedName>
    <definedName name="____________________MAY24">'[3]MAY '!$E$24</definedName>
    <definedName name="____________________MAY25">'[3]MAY '!$E$25</definedName>
    <definedName name="____________________MAY26">'[3]MAY '!$E$26</definedName>
    <definedName name="____________________MAY27">'[3]MAY '!$E$27</definedName>
    <definedName name="____________________MAY28">'[3]MAY '!$E$28</definedName>
    <definedName name="____________________MAY30">'[3]MAY '!$E$30</definedName>
    <definedName name="____________________MAY33">'[3]MAY '!$E$33</definedName>
    <definedName name="____________________MAY34">'[3]MAY '!$E$34</definedName>
    <definedName name="____________________MAY35">'[3]MAY '!$E$35</definedName>
    <definedName name="____________________MAY4">'[3]MAY '!$E$4</definedName>
    <definedName name="____________________MAY5">'[3]MAY '!$E$5</definedName>
    <definedName name="____________________MAY6">'[3]MAY '!$E$6</definedName>
    <definedName name="____________________MAY7">'[3]MAY '!$E$7</definedName>
    <definedName name="____________________MAY8">'[3]MAY '!$E$8</definedName>
    <definedName name="____________________MAY9">'[3]MAY '!$E$9</definedName>
    <definedName name="___________________JUL11">'[4]FY03-04 Budget'!#REF!</definedName>
    <definedName name="___________________JUL29">'[4]FY03-04 Budget'!#REF!</definedName>
    <definedName name="___________________JUL34">'[4]FY03-04 Budget'!#REF!</definedName>
    <definedName name="___________________JUN30">'[4]FY03-04 Budget'!#REF!</definedName>
    <definedName name="___________________JUN36">'[4]FY03-04 Budget'!#REF!</definedName>
    <definedName name="___________________MAY10">'[5]MAY '!$E$10</definedName>
    <definedName name="___________________MAY11">'[5]MAY '!$E$11</definedName>
    <definedName name="___________________MAY14">'[5]MAY '!$E$14</definedName>
    <definedName name="___________________MAY15">'[5]MAY '!$E$15</definedName>
    <definedName name="___________________MAY16">'[5]MAY '!$E$16</definedName>
    <definedName name="___________________MAY17">'[5]MAY '!$E$17</definedName>
    <definedName name="___________________MAY18">'[5]MAY '!$E$18</definedName>
    <definedName name="___________________MAY19">'[5]MAY '!$E$19</definedName>
    <definedName name="___________________MAY20">'[5]MAY '!$E$20</definedName>
    <definedName name="___________________MAY21">'[5]MAY '!$E$21</definedName>
    <definedName name="___________________MAY22">'[5]MAY '!$E$22</definedName>
    <definedName name="___________________MAY23">'[5]MAY '!$E$23</definedName>
    <definedName name="___________________MAY24">'[5]MAY '!$E$24</definedName>
    <definedName name="___________________MAY25">'[5]MAY '!$E$25</definedName>
    <definedName name="___________________MAY26">'[5]MAY '!$E$26</definedName>
    <definedName name="___________________MAY27">'[5]MAY '!$E$27</definedName>
    <definedName name="___________________MAY28">'[5]MAY '!$E$28</definedName>
    <definedName name="___________________MAY30">'[5]MAY '!$E$30</definedName>
    <definedName name="___________________MAY33">'[5]MAY '!$E$33</definedName>
    <definedName name="___________________MAY34">'[5]MAY '!$E$34</definedName>
    <definedName name="___________________MAY35">'[5]MAY '!$E$35</definedName>
    <definedName name="___________________MAY4">'[5]MAY '!$E$4</definedName>
    <definedName name="___________________MAY5">'[5]MAY '!$E$5</definedName>
    <definedName name="___________________MAY6">'[5]MAY '!$E$6</definedName>
    <definedName name="___________________MAY7">'[5]MAY '!$E$7</definedName>
    <definedName name="___________________MAY8">'[5]MAY '!$E$8</definedName>
    <definedName name="___________________MAY9">'[5]MAY '!$E$9</definedName>
    <definedName name="__________________JUL11">'[4]FY03-04 Budget'!#REF!</definedName>
    <definedName name="__________________JUL29">'[4]FY03-04 Budget'!#REF!</definedName>
    <definedName name="__________________JUL34">'[4]FY03-04 Budget'!#REF!</definedName>
    <definedName name="__________________JUN30">'[4]FY03-04 Budget'!#REF!</definedName>
    <definedName name="__________________JUN36">'[4]FY03-04 Budget'!#REF!</definedName>
    <definedName name="__________________MAY10">'[5]MAY '!$E$10</definedName>
    <definedName name="__________________MAY11">'[5]MAY '!$E$11</definedName>
    <definedName name="__________________MAY14">'[5]MAY '!$E$14</definedName>
    <definedName name="__________________MAY15">'[5]MAY '!$E$15</definedName>
    <definedName name="__________________MAY16">'[5]MAY '!$E$16</definedName>
    <definedName name="__________________MAY17">'[5]MAY '!$E$17</definedName>
    <definedName name="__________________MAY18">'[5]MAY '!$E$18</definedName>
    <definedName name="__________________MAY19">'[5]MAY '!$E$19</definedName>
    <definedName name="__________________MAY20">'[5]MAY '!$E$20</definedName>
    <definedName name="__________________MAY21">'[5]MAY '!$E$21</definedName>
    <definedName name="__________________MAY22">'[5]MAY '!$E$22</definedName>
    <definedName name="__________________MAY23">'[5]MAY '!$E$23</definedName>
    <definedName name="__________________MAY24">'[5]MAY '!$E$24</definedName>
    <definedName name="__________________MAY25">'[5]MAY '!$E$25</definedName>
    <definedName name="__________________MAY26">'[5]MAY '!$E$26</definedName>
    <definedName name="__________________MAY27">'[5]MAY '!$E$27</definedName>
    <definedName name="__________________MAY28">'[5]MAY '!$E$28</definedName>
    <definedName name="__________________MAY30">'[5]MAY '!$E$30</definedName>
    <definedName name="__________________MAY33">'[5]MAY '!$E$33</definedName>
    <definedName name="__________________MAY34">'[5]MAY '!$E$34</definedName>
    <definedName name="__________________MAY35">'[5]MAY '!$E$35</definedName>
    <definedName name="__________________MAY4">'[5]MAY '!$E$4</definedName>
    <definedName name="__________________MAY5">'[5]MAY '!$E$5</definedName>
    <definedName name="__________________MAY6">'[5]MAY '!$E$6</definedName>
    <definedName name="__________________MAY7">'[5]MAY '!$E$7</definedName>
    <definedName name="__________________MAY8">'[5]MAY '!$E$8</definedName>
    <definedName name="__________________MAY9">'[5]MAY '!$E$9</definedName>
    <definedName name="_________________C">#N/A</definedName>
    <definedName name="_________________j1">'[2]FY03-04 Budget'!#REF!</definedName>
    <definedName name="_________________JUL11">'[2]FY03-04 Budget'!#REF!</definedName>
    <definedName name="_________________JUL29">'[2]FY03-04 Budget'!#REF!</definedName>
    <definedName name="_________________JUL34">'[2]FY03-04 Budget'!#REF!</definedName>
    <definedName name="_________________JUN30">'[2]FY03-04 Budget'!#REF!</definedName>
    <definedName name="_________________JUN36">'[2]FY03-04 Budget'!#REF!</definedName>
    <definedName name="_________________MAY10">'[3]MAY '!$E$10</definedName>
    <definedName name="_________________MAY11">'[3]MAY '!$E$11</definedName>
    <definedName name="_________________MAY14">'[3]MAY '!$E$14</definedName>
    <definedName name="_________________MAY15">'[3]MAY '!$E$15</definedName>
    <definedName name="_________________MAY16">'[3]MAY '!$E$16</definedName>
    <definedName name="_________________MAY17">'[3]MAY '!$E$17</definedName>
    <definedName name="_________________MAY18">'[3]MAY '!$E$18</definedName>
    <definedName name="_________________MAY19">'[3]MAY '!$E$19</definedName>
    <definedName name="_________________MAY20">'[3]MAY '!$E$20</definedName>
    <definedName name="_________________MAY21">'[3]MAY '!$E$21</definedName>
    <definedName name="_________________MAY22">'[3]MAY '!$E$22</definedName>
    <definedName name="_________________MAY23">'[3]MAY '!$E$23</definedName>
    <definedName name="_________________MAY24">'[3]MAY '!$E$24</definedName>
    <definedName name="_________________MAY25">'[3]MAY '!$E$25</definedName>
    <definedName name="_________________MAY26">'[3]MAY '!$E$26</definedName>
    <definedName name="_________________MAY27">'[3]MAY '!$E$27</definedName>
    <definedName name="_________________MAY28">'[3]MAY '!$E$28</definedName>
    <definedName name="_________________MAY30">'[3]MAY '!$E$30</definedName>
    <definedName name="_________________MAY33">'[3]MAY '!$E$33</definedName>
    <definedName name="_________________MAY34">'[3]MAY '!$E$34</definedName>
    <definedName name="_________________MAY35">'[3]MAY '!$E$35</definedName>
    <definedName name="_________________MAY4">'[3]MAY '!$E$4</definedName>
    <definedName name="_________________MAY5">'[3]MAY '!$E$5</definedName>
    <definedName name="_________________MAY6">'[3]MAY '!$E$6</definedName>
    <definedName name="_________________MAY7">'[3]MAY '!$E$7</definedName>
    <definedName name="_________________MAY8">'[3]MAY '!$E$8</definedName>
    <definedName name="_________________MAY9">'[3]MAY '!$E$9</definedName>
    <definedName name="_________________R">#N/A</definedName>
    <definedName name="________________C">#N/A</definedName>
    <definedName name="________________j1">'[2]FY03-04 Budget'!#REF!</definedName>
    <definedName name="________________JUL11">'[4]FY03-04 Budget'!#REF!</definedName>
    <definedName name="________________JUL27">'[6]FY03-04 Budget'!$C$29</definedName>
    <definedName name="________________JUL29">'[4]FY03-04 Budget'!#REF!</definedName>
    <definedName name="________________JUL34">'[4]FY03-04 Budget'!#REF!</definedName>
    <definedName name="________________JUN10">'[7]JUNE '!$E$10</definedName>
    <definedName name="________________JUN11">'[7]JUNE '!$E$11</definedName>
    <definedName name="________________JUN15">'[7]JUNE '!$E$15</definedName>
    <definedName name="________________JUN16">'[7]JUNE '!$E$16</definedName>
    <definedName name="________________JUN17">'[7]JUNE '!$E$17</definedName>
    <definedName name="________________JUN19">'[7]JUNE '!$E$19</definedName>
    <definedName name="________________JUN20">'[7]JUNE '!$E$20</definedName>
    <definedName name="________________JUN22">'[7]JUNE '!$E$22</definedName>
    <definedName name="________________JUN23">'[7]JUNE '!$E$23</definedName>
    <definedName name="________________JUN24">'[7]JUNE '!$E$24</definedName>
    <definedName name="________________JUN25">'[7]JUNE '!$E$25</definedName>
    <definedName name="________________JUN26">'[7]JUNE '!$E$26</definedName>
    <definedName name="________________JUN27">'[7]JUNE '!$E$27</definedName>
    <definedName name="________________JUN28">'[7]JUNE '!$E$28</definedName>
    <definedName name="________________JUN29">'[7]JUNE '!$E$29</definedName>
    <definedName name="________________JUN30">'[4]FY03-04 Budget'!#REF!</definedName>
    <definedName name="________________JUN36">'[4]FY03-04 Budget'!#REF!</definedName>
    <definedName name="________________JUN4">'[7]JUNE '!$E$4</definedName>
    <definedName name="________________JUN5">'[7]JUNE '!$E$5</definedName>
    <definedName name="________________JUN6">'[7]JUNE '!$E$6</definedName>
    <definedName name="________________JUN7">'[7]JUNE '!$E$7</definedName>
    <definedName name="________________JUN8">'[7]JUNE '!$E$8</definedName>
    <definedName name="________________JUN9">'[7]JUNE '!$E$9</definedName>
    <definedName name="________________MAY10">'[5]MAY '!$E$10</definedName>
    <definedName name="________________MAY11">'[5]MAY '!$E$11</definedName>
    <definedName name="________________MAY14">'[5]MAY '!$E$14</definedName>
    <definedName name="________________MAY15">'[5]MAY '!$E$15</definedName>
    <definedName name="________________MAY16">'[5]MAY '!$E$16</definedName>
    <definedName name="________________MAY17">'[5]MAY '!$E$17</definedName>
    <definedName name="________________MAY18">'[5]MAY '!$E$18</definedName>
    <definedName name="________________MAY19">'[5]MAY '!$E$19</definedName>
    <definedName name="________________MAY20">'[5]MAY '!$E$20</definedName>
    <definedName name="________________MAY21">'[5]MAY '!$E$21</definedName>
    <definedName name="________________MAY22">'[5]MAY '!$E$22</definedName>
    <definedName name="________________MAY23">'[5]MAY '!$E$23</definedName>
    <definedName name="________________MAY24">'[5]MAY '!$E$24</definedName>
    <definedName name="________________MAY25">'[5]MAY '!$E$25</definedName>
    <definedName name="________________MAY26">'[5]MAY '!$E$26</definedName>
    <definedName name="________________MAY27">'[5]MAY '!$E$27</definedName>
    <definedName name="________________MAY28">'[5]MAY '!$E$28</definedName>
    <definedName name="________________MAY30">'[5]MAY '!$E$30</definedName>
    <definedName name="________________MAY33">'[5]MAY '!$E$33</definedName>
    <definedName name="________________MAY34">'[5]MAY '!$E$34</definedName>
    <definedName name="________________MAY35">'[5]MAY '!$E$35</definedName>
    <definedName name="________________MAY4">'[5]MAY '!$E$4</definedName>
    <definedName name="________________MAY5">'[5]MAY '!$E$5</definedName>
    <definedName name="________________MAY6">'[5]MAY '!$E$6</definedName>
    <definedName name="________________MAY7">'[5]MAY '!$E$7</definedName>
    <definedName name="________________MAY8">'[5]MAY '!$E$8</definedName>
    <definedName name="________________MAY9">'[5]MAY '!$E$9</definedName>
    <definedName name="________________R">#N/A</definedName>
    <definedName name="_______________C">#N/A</definedName>
    <definedName name="_______________j1">'[2]FY03-04 Budget'!#REF!</definedName>
    <definedName name="_______________JUL11">'[4]FY03-04 Budget'!#REF!</definedName>
    <definedName name="_______________JUL27">'[6]FY03-04 Budget'!$C$29</definedName>
    <definedName name="_______________JUL29">'[4]FY03-04 Budget'!#REF!</definedName>
    <definedName name="_______________JUL34">'[4]FY03-04 Budget'!#REF!</definedName>
    <definedName name="_______________JUN10">'[7]JUNE '!$E$10</definedName>
    <definedName name="_______________JUN11">'[7]JUNE '!$E$11</definedName>
    <definedName name="_______________JUN15">'[7]JUNE '!$E$15</definedName>
    <definedName name="_______________JUN16">'[7]JUNE '!$E$16</definedName>
    <definedName name="_______________JUN17">'[7]JUNE '!$E$17</definedName>
    <definedName name="_______________JUN19">'[7]JUNE '!$E$19</definedName>
    <definedName name="_______________JUN20">'[7]JUNE '!$E$20</definedName>
    <definedName name="_______________JUN22">'[7]JUNE '!$E$22</definedName>
    <definedName name="_______________JUN23">'[7]JUNE '!$E$23</definedName>
    <definedName name="_______________JUN24">'[7]JUNE '!$E$24</definedName>
    <definedName name="_______________JUN25">'[7]JUNE '!$E$25</definedName>
    <definedName name="_______________JUN26">'[7]JUNE '!$E$26</definedName>
    <definedName name="_______________JUN27">'[7]JUNE '!$E$27</definedName>
    <definedName name="_______________JUN28">'[7]JUNE '!$E$28</definedName>
    <definedName name="_______________JUN29">'[7]JUNE '!$E$29</definedName>
    <definedName name="_______________JUN30">'[4]FY03-04 Budget'!#REF!</definedName>
    <definedName name="_______________JUN36">'[4]FY03-04 Budget'!#REF!</definedName>
    <definedName name="_______________JUN4">'[7]JUNE '!$E$4</definedName>
    <definedName name="_______________JUN5">'[7]JUNE '!$E$5</definedName>
    <definedName name="_______________JUN6">'[7]JUNE '!$E$6</definedName>
    <definedName name="_______________JUN7">'[7]JUNE '!$E$7</definedName>
    <definedName name="_______________JUN8">'[7]JUNE '!$E$8</definedName>
    <definedName name="_______________JUN9">'[7]JUNE '!$E$9</definedName>
    <definedName name="_______________MAY10">'[5]MAY '!$E$10</definedName>
    <definedName name="_______________MAY11">'[5]MAY '!$E$11</definedName>
    <definedName name="_______________MAY14">'[5]MAY '!$E$14</definedName>
    <definedName name="_______________MAY15">'[5]MAY '!$E$15</definedName>
    <definedName name="_______________MAY16">'[5]MAY '!$E$16</definedName>
    <definedName name="_______________MAY17">'[5]MAY '!$E$17</definedName>
    <definedName name="_______________MAY18">'[5]MAY '!$E$18</definedName>
    <definedName name="_______________MAY19">'[5]MAY '!$E$19</definedName>
    <definedName name="_______________MAY20">'[5]MAY '!$E$20</definedName>
    <definedName name="_______________MAY21">'[5]MAY '!$E$21</definedName>
    <definedName name="_______________MAY22">'[5]MAY '!$E$22</definedName>
    <definedName name="_______________MAY23">'[5]MAY '!$E$23</definedName>
    <definedName name="_______________MAY24">'[5]MAY '!$E$24</definedName>
    <definedName name="_______________MAY25">'[5]MAY '!$E$25</definedName>
    <definedName name="_______________MAY26">'[5]MAY '!$E$26</definedName>
    <definedName name="_______________MAY27">'[5]MAY '!$E$27</definedName>
    <definedName name="_______________MAY28">'[5]MAY '!$E$28</definedName>
    <definedName name="_______________MAY30">'[5]MAY '!$E$30</definedName>
    <definedName name="_______________MAY33">'[5]MAY '!$E$33</definedName>
    <definedName name="_______________MAY34">'[5]MAY '!$E$34</definedName>
    <definedName name="_______________MAY35">'[5]MAY '!$E$35</definedName>
    <definedName name="_______________MAY4">'[5]MAY '!$E$4</definedName>
    <definedName name="_______________MAY5">'[5]MAY '!$E$5</definedName>
    <definedName name="_______________MAY6">'[5]MAY '!$E$6</definedName>
    <definedName name="_______________MAY7">'[5]MAY '!$E$7</definedName>
    <definedName name="_______________MAY8">'[5]MAY '!$E$8</definedName>
    <definedName name="_______________MAY9">'[5]MAY '!$E$9</definedName>
    <definedName name="_______________R">#N/A</definedName>
    <definedName name="______________C">#N/A</definedName>
    <definedName name="______________j1">'[2]FY03-04 Budget'!#REF!</definedName>
    <definedName name="______________JUL11">'[4]FY03-04 Budget'!#REF!</definedName>
    <definedName name="______________JUL27">'[6]FY03-04 Budget'!$C$29</definedName>
    <definedName name="______________JUL29">'[4]FY03-04 Budget'!#REF!</definedName>
    <definedName name="______________JUL34">'[4]FY03-04 Budget'!#REF!</definedName>
    <definedName name="______________JUN10">'[7]JUNE '!$E$10</definedName>
    <definedName name="______________JUN11">'[7]JUNE '!$E$11</definedName>
    <definedName name="______________JUN15">'[7]JUNE '!$E$15</definedName>
    <definedName name="______________JUN16">'[7]JUNE '!$E$16</definedName>
    <definedName name="______________JUN17">'[7]JUNE '!$E$17</definedName>
    <definedName name="______________JUN19">'[7]JUNE '!$E$19</definedName>
    <definedName name="______________JUN20">'[7]JUNE '!$E$20</definedName>
    <definedName name="______________JUN22">'[7]JUNE '!$E$22</definedName>
    <definedName name="______________JUN23">'[7]JUNE '!$E$23</definedName>
    <definedName name="______________JUN24">'[7]JUNE '!$E$24</definedName>
    <definedName name="______________JUN25">'[7]JUNE '!$E$25</definedName>
    <definedName name="______________JUN26">'[7]JUNE '!$E$26</definedName>
    <definedName name="______________JUN27">'[7]JUNE '!$E$27</definedName>
    <definedName name="______________JUN28">'[7]JUNE '!$E$28</definedName>
    <definedName name="______________JUN29">'[7]JUNE '!$E$29</definedName>
    <definedName name="______________JUN30">'[4]FY03-04 Budget'!#REF!</definedName>
    <definedName name="______________JUN36">'[4]FY03-04 Budget'!#REF!</definedName>
    <definedName name="______________JUN4">'[7]JUNE '!$E$4</definedName>
    <definedName name="______________JUN5">'[7]JUNE '!$E$5</definedName>
    <definedName name="______________JUN6">'[7]JUNE '!$E$6</definedName>
    <definedName name="______________JUN7">'[7]JUNE '!$E$7</definedName>
    <definedName name="______________JUN8">'[7]JUNE '!$E$8</definedName>
    <definedName name="______________JUN9">'[7]JUNE '!$E$9</definedName>
    <definedName name="______________MAY10">'[5]MAY '!$E$10</definedName>
    <definedName name="______________MAY11">'[5]MAY '!$E$11</definedName>
    <definedName name="______________MAY14">'[5]MAY '!$E$14</definedName>
    <definedName name="______________MAY15">'[5]MAY '!$E$15</definedName>
    <definedName name="______________MAY16">'[5]MAY '!$E$16</definedName>
    <definedName name="______________MAY17">'[5]MAY '!$E$17</definedName>
    <definedName name="______________MAY18">'[5]MAY '!$E$18</definedName>
    <definedName name="______________MAY19">'[5]MAY '!$E$19</definedName>
    <definedName name="______________MAY20">'[5]MAY '!$E$20</definedName>
    <definedName name="______________MAY21">'[5]MAY '!$E$21</definedName>
    <definedName name="______________MAY22">'[5]MAY '!$E$22</definedName>
    <definedName name="______________MAY23">'[5]MAY '!$E$23</definedName>
    <definedName name="______________MAY24">'[5]MAY '!$E$24</definedName>
    <definedName name="______________MAY25">'[5]MAY '!$E$25</definedName>
    <definedName name="______________MAY26">'[5]MAY '!$E$26</definedName>
    <definedName name="______________MAY27">'[5]MAY '!$E$27</definedName>
    <definedName name="______________MAY28">'[5]MAY '!$E$28</definedName>
    <definedName name="______________MAY30">'[5]MAY '!$E$30</definedName>
    <definedName name="______________MAY33">'[5]MAY '!$E$33</definedName>
    <definedName name="______________MAY34">'[5]MAY '!$E$34</definedName>
    <definedName name="______________MAY35">'[5]MAY '!$E$35</definedName>
    <definedName name="______________MAY4">'[5]MAY '!$E$4</definedName>
    <definedName name="______________MAY5">'[5]MAY '!$E$5</definedName>
    <definedName name="______________MAY6">'[5]MAY '!$E$6</definedName>
    <definedName name="______________MAY7">'[5]MAY '!$E$7</definedName>
    <definedName name="______________MAY8">'[5]MAY '!$E$8</definedName>
    <definedName name="______________MAY9">'[5]MAY '!$E$9</definedName>
    <definedName name="______________MBT2">'[8]Budget Pivot'!#REF!</definedName>
    <definedName name="______________R">#N/A</definedName>
    <definedName name="_____________C">#N/A</definedName>
    <definedName name="_____________j1">'[2]FY03-04 Budget'!#REF!</definedName>
    <definedName name="_____________JUL11">'[4]FY03-04 Budget'!#REF!</definedName>
    <definedName name="_____________JUL27">'[6]FY03-04 Budget'!$C$29</definedName>
    <definedName name="_____________JUL29">'[4]FY03-04 Budget'!#REF!</definedName>
    <definedName name="_____________JUL34">'[4]FY03-04 Budget'!#REF!</definedName>
    <definedName name="_____________JUN10">'[7]JUNE '!$E$10</definedName>
    <definedName name="_____________JUN11">'[7]JUNE '!$E$11</definedName>
    <definedName name="_____________JUN15">'[7]JUNE '!$E$15</definedName>
    <definedName name="_____________JUN16">'[7]JUNE '!$E$16</definedName>
    <definedName name="_____________JUN17">'[7]JUNE '!$E$17</definedName>
    <definedName name="_____________JUN19">'[7]JUNE '!$E$19</definedName>
    <definedName name="_____________JUN20">'[7]JUNE '!$E$20</definedName>
    <definedName name="_____________JUN22">'[7]JUNE '!$E$22</definedName>
    <definedName name="_____________JUN23">'[7]JUNE '!$E$23</definedName>
    <definedName name="_____________JUN24">'[7]JUNE '!$E$24</definedName>
    <definedName name="_____________JUN25">'[7]JUNE '!$E$25</definedName>
    <definedName name="_____________JUN26">'[7]JUNE '!$E$26</definedName>
    <definedName name="_____________JUN27">'[7]JUNE '!$E$27</definedName>
    <definedName name="_____________JUN28">'[7]JUNE '!$E$28</definedName>
    <definedName name="_____________JUN29">'[7]JUNE '!$E$29</definedName>
    <definedName name="_____________JUN30">'[4]FY03-04 Budget'!#REF!</definedName>
    <definedName name="_____________JUN36">'[4]FY03-04 Budget'!#REF!</definedName>
    <definedName name="_____________JUN4">'[7]JUNE '!$E$4</definedName>
    <definedName name="_____________JUN5">'[7]JUNE '!$E$5</definedName>
    <definedName name="_____________JUN6">'[7]JUNE '!$E$6</definedName>
    <definedName name="_____________JUN7">'[7]JUNE '!$E$7</definedName>
    <definedName name="_____________JUN8">'[7]JUNE '!$E$8</definedName>
    <definedName name="_____________JUN9">'[7]JUNE '!$E$9</definedName>
    <definedName name="_____________MAY10">'[5]MAY '!$E$10</definedName>
    <definedName name="_____________MAY11">'[5]MAY '!$E$11</definedName>
    <definedName name="_____________MAY14">'[5]MAY '!$E$14</definedName>
    <definedName name="_____________MAY15">'[5]MAY '!$E$15</definedName>
    <definedName name="_____________MAY16">'[5]MAY '!$E$16</definedName>
    <definedName name="_____________MAY17">'[5]MAY '!$E$17</definedName>
    <definedName name="_____________MAY18">'[5]MAY '!$E$18</definedName>
    <definedName name="_____________MAY19">'[5]MAY '!$E$19</definedName>
    <definedName name="_____________MAY20">'[5]MAY '!$E$20</definedName>
    <definedName name="_____________MAY21">'[5]MAY '!$E$21</definedName>
    <definedName name="_____________MAY22">'[5]MAY '!$E$22</definedName>
    <definedName name="_____________MAY23">'[5]MAY '!$E$23</definedName>
    <definedName name="_____________MAY24">'[5]MAY '!$E$24</definedName>
    <definedName name="_____________MAY25">'[5]MAY '!$E$25</definedName>
    <definedName name="_____________MAY26">'[5]MAY '!$E$26</definedName>
    <definedName name="_____________MAY27">'[5]MAY '!$E$27</definedName>
    <definedName name="_____________MAY28">'[5]MAY '!$E$28</definedName>
    <definedName name="_____________MAY30">'[5]MAY '!$E$30</definedName>
    <definedName name="_____________MAY33">'[5]MAY '!$E$33</definedName>
    <definedName name="_____________MAY34">'[5]MAY '!$E$34</definedName>
    <definedName name="_____________MAY35">'[5]MAY '!$E$35</definedName>
    <definedName name="_____________MAY4">'[5]MAY '!$E$4</definedName>
    <definedName name="_____________MAY5">'[5]MAY '!$E$5</definedName>
    <definedName name="_____________MAY6">'[5]MAY '!$E$6</definedName>
    <definedName name="_____________MAY7">'[5]MAY '!$E$7</definedName>
    <definedName name="_____________MAY8">'[5]MAY '!$E$8</definedName>
    <definedName name="_____________MAY9">'[5]MAY '!$E$9</definedName>
    <definedName name="_____________MBT2">'[8]Budget Pivot'!#REF!</definedName>
    <definedName name="_____________R">#N/A</definedName>
    <definedName name="____________C">#N/A</definedName>
    <definedName name="____________j1">'[2]FY03-04 Budget'!#REF!</definedName>
    <definedName name="____________JUL11">'[4]FY03-04 Budget'!#REF!</definedName>
    <definedName name="____________JUL27">'[6]FY03-04 Budget'!$C$29</definedName>
    <definedName name="____________JUL29">'[4]FY03-04 Budget'!#REF!</definedName>
    <definedName name="____________JUL34">'[4]FY03-04 Budget'!#REF!</definedName>
    <definedName name="____________JUN10">'[7]JUNE '!$E$10</definedName>
    <definedName name="____________JUN11">'[7]JUNE '!$E$11</definedName>
    <definedName name="____________JUN15">'[7]JUNE '!$E$15</definedName>
    <definedName name="____________JUN16">'[7]JUNE '!$E$16</definedName>
    <definedName name="____________JUN17">'[7]JUNE '!$E$17</definedName>
    <definedName name="____________JUN19">'[7]JUNE '!$E$19</definedName>
    <definedName name="____________JUN20">'[7]JUNE '!$E$20</definedName>
    <definedName name="____________JUN22">'[7]JUNE '!$E$22</definedName>
    <definedName name="____________JUN23">'[7]JUNE '!$E$23</definedName>
    <definedName name="____________JUN24">'[7]JUNE '!$E$24</definedName>
    <definedName name="____________JUN25">'[7]JUNE '!$E$25</definedName>
    <definedName name="____________JUN26">'[7]JUNE '!$E$26</definedName>
    <definedName name="____________JUN27">'[7]JUNE '!$E$27</definedName>
    <definedName name="____________JUN28">'[7]JUNE '!$E$28</definedName>
    <definedName name="____________JUN29">'[7]JUNE '!$E$29</definedName>
    <definedName name="____________JUN30">'[4]FY03-04 Budget'!#REF!</definedName>
    <definedName name="____________JUN36">'[4]FY03-04 Budget'!#REF!</definedName>
    <definedName name="____________JUN4">'[7]JUNE '!$E$4</definedName>
    <definedName name="____________JUN5">'[7]JUNE '!$E$5</definedName>
    <definedName name="____________JUN6">'[7]JUNE '!$E$6</definedName>
    <definedName name="____________JUN7">'[7]JUNE '!$E$7</definedName>
    <definedName name="____________JUN8">'[7]JUNE '!$E$8</definedName>
    <definedName name="____________JUN9">'[7]JUNE '!$E$9</definedName>
    <definedName name="____________MAY10">'[5]MAY '!$E$10</definedName>
    <definedName name="____________MAY11">'[5]MAY '!$E$11</definedName>
    <definedName name="____________MAY14">'[5]MAY '!$E$14</definedName>
    <definedName name="____________MAY15">'[5]MAY '!$E$15</definedName>
    <definedName name="____________MAY16">'[5]MAY '!$E$16</definedName>
    <definedName name="____________MAY17">'[5]MAY '!$E$17</definedName>
    <definedName name="____________MAY18">'[5]MAY '!$E$18</definedName>
    <definedName name="____________MAY19">'[5]MAY '!$E$19</definedName>
    <definedName name="____________MAY20">'[5]MAY '!$E$20</definedName>
    <definedName name="____________MAY21">'[5]MAY '!$E$21</definedName>
    <definedName name="____________MAY22">'[5]MAY '!$E$22</definedName>
    <definedName name="____________MAY23">'[5]MAY '!$E$23</definedName>
    <definedName name="____________MAY24">'[5]MAY '!$E$24</definedName>
    <definedName name="____________MAY25">'[5]MAY '!$E$25</definedName>
    <definedName name="____________MAY26">'[5]MAY '!$E$26</definedName>
    <definedName name="____________MAY27">'[5]MAY '!$E$27</definedName>
    <definedName name="____________MAY28">'[5]MAY '!$E$28</definedName>
    <definedName name="____________MAY30">'[5]MAY '!$E$30</definedName>
    <definedName name="____________MAY33">'[5]MAY '!$E$33</definedName>
    <definedName name="____________MAY34">'[5]MAY '!$E$34</definedName>
    <definedName name="____________MAY35">'[5]MAY '!$E$35</definedName>
    <definedName name="____________MAY4">'[5]MAY '!$E$4</definedName>
    <definedName name="____________MAY5">'[5]MAY '!$E$5</definedName>
    <definedName name="____________MAY6">'[5]MAY '!$E$6</definedName>
    <definedName name="____________MAY7">'[5]MAY '!$E$7</definedName>
    <definedName name="____________MAY8">'[5]MAY '!$E$8</definedName>
    <definedName name="____________MAY9">'[5]MAY '!$E$9</definedName>
    <definedName name="____________MBT2">'[8]Budget Pivot'!#REF!</definedName>
    <definedName name="____________R">#N/A</definedName>
    <definedName name="___________C">#N/A</definedName>
    <definedName name="___________j1">'[9]FY03-04 Budget'!#REF!</definedName>
    <definedName name="___________JUL11">'[9]FY03-04 Budget'!#REF!</definedName>
    <definedName name="___________JUL27">'[10]FY03-04 Budget'!$C$29</definedName>
    <definedName name="___________JUL29">'[9]FY03-04 Budget'!#REF!</definedName>
    <definedName name="___________JUL34">'[9]FY03-04 Budget'!#REF!</definedName>
    <definedName name="___________JUN10">'[11]JUNE '!$E$10</definedName>
    <definedName name="___________JUN11">'[11]JUNE '!$E$11</definedName>
    <definedName name="___________JUN15">'[11]JUNE '!$E$15</definedName>
    <definedName name="___________JUN16">'[11]JUNE '!$E$16</definedName>
    <definedName name="___________JUN17">'[11]JUNE '!$E$17</definedName>
    <definedName name="___________JUN19">'[11]JUNE '!$E$19</definedName>
    <definedName name="___________JUN20">'[11]JUNE '!$E$20</definedName>
    <definedName name="___________JUN22">'[11]JUNE '!$E$22</definedName>
    <definedName name="___________JUN23">'[11]JUNE '!$E$23</definedName>
    <definedName name="___________JUN24">'[11]JUNE '!$E$24</definedName>
    <definedName name="___________JUN25">'[11]JUNE '!$E$25</definedName>
    <definedName name="___________JUN26">'[11]JUNE '!$E$26</definedName>
    <definedName name="___________JUN27">'[11]JUNE '!$E$27</definedName>
    <definedName name="___________JUN28">'[11]JUNE '!$E$28</definedName>
    <definedName name="___________JUN29">'[11]JUNE '!$E$29</definedName>
    <definedName name="___________JUN30">'[9]FY03-04 Budget'!#REF!</definedName>
    <definedName name="___________JUN36">'[9]FY03-04 Budget'!#REF!</definedName>
    <definedName name="___________JUN4">'[11]JUNE '!$E$4</definedName>
    <definedName name="___________JUN5">'[11]JUNE '!$E$5</definedName>
    <definedName name="___________JUN6">'[11]JUNE '!$E$6</definedName>
    <definedName name="___________JUN7">'[11]JUNE '!$E$7</definedName>
    <definedName name="___________JUN8">'[11]JUNE '!$E$8</definedName>
    <definedName name="___________JUN9">'[11]JUNE '!$E$9</definedName>
    <definedName name="___________MAY10">'[12]MAY '!$E$10</definedName>
    <definedName name="___________MAY11">'[12]MAY '!$E$11</definedName>
    <definedName name="___________MAY14">'[12]MAY '!$E$14</definedName>
    <definedName name="___________MAY15">'[12]MAY '!$E$15</definedName>
    <definedName name="___________MAY16">'[12]MAY '!$E$16</definedName>
    <definedName name="___________MAY17">'[12]MAY '!$E$17</definedName>
    <definedName name="___________MAY18">'[12]MAY '!$E$18</definedName>
    <definedName name="___________MAY19">'[12]MAY '!$E$19</definedName>
    <definedName name="___________MAY20">'[12]MAY '!$E$20</definedName>
    <definedName name="___________MAY21">'[12]MAY '!$E$21</definedName>
    <definedName name="___________MAY22">'[12]MAY '!$E$22</definedName>
    <definedName name="___________MAY23">'[12]MAY '!$E$23</definedName>
    <definedName name="___________MAY24">'[12]MAY '!$E$24</definedName>
    <definedName name="___________MAY25">'[12]MAY '!$E$25</definedName>
    <definedName name="___________MAY26">'[12]MAY '!$E$26</definedName>
    <definedName name="___________MAY27">'[12]MAY '!$E$27</definedName>
    <definedName name="___________MAY28">'[12]MAY '!$E$28</definedName>
    <definedName name="___________MAY30">'[12]MAY '!$E$30</definedName>
    <definedName name="___________MAY33">'[12]MAY '!$E$33</definedName>
    <definedName name="___________MAY34">'[12]MAY '!$E$34</definedName>
    <definedName name="___________MAY35">'[12]MAY '!$E$35</definedName>
    <definedName name="___________MAY4">'[12]MAY '!$E$4</definedName>
    <definedName name="___________MAY5">'[12]MAY '!$E$5</definedName>
    <definedName name="___________MAY6">'[12]MAY '!$E$6</definedName>
    <definedName name="___________MAY7">'[12]MAY '!$E$7</definedName>
    <definedName name="___________MAY8">'[12]MAY '!$E$8</definedName>
    <definedName name="___________MAY9">'[12]MAY '!$E$9</definedName>
    <definedName name="___________MBT2">'[8]Budget Pivot'!#REF!</definedName>
    <definedName name="___________R">#N/A</definedName>
    <definedName name="__________C">#N/A</definedName>
    <definedName name="__________j1">'[9]FY03-04 Budget'!#REF!</definedName>
    <definedName name="__________JUL11">'[9]FY03-04 Budget'!#REF!</definedName>
    <definedName name="__________JUL27">'[10]FY03-04 Budget'!$C$29</definedName>
    <definedName name="__________JUL29">'[9]FY03-04 Budget'!#REF!</definedName>
    <definedName name="__________JUL34">'[9]FY03-04 Budget'!#REF!</definedName>
    <definedName name="__________JUN10">'[11]JUNE '!$E$10</definedName>
    <definedName name="__________JUN11">'[11]JUNE '!$E$11</definedName>
    <definedName name="__________JUN15">'[11]JUNE '!$E$15</definedName>
    <definedName name="__________JUN16">'[11]JUNE '!$E$16</definedName>
    <definedName name="__________JUN17">'[11]JUNE '!$E$17</definedName>
    <definedName name="__________JUN19">'[11]JUNE '!$E$19</definedName>
    <definedName name="__________JUN20">'[11]JUNE '!$E$20</definedName>
    <definedName name="__________JUN22">'[11]JUNE '!$E$22</definedName>
    <definedName name="__________JUN23">'[11]JUNE '!$E$23</definedName>
    <definedName name="__________JUN24">'[11]JUNE '!$E$24</definedName>
    <definedName name="__________JUN25">'[11]JUNE '!$E$25</definedName>
    <definedName name="__________JUN26">'[11]JUNE '!$E$26</definedName>
    <definedName name="__________JUN27">'[11]JUNE '!$E$27</definedName>
    <definedName name="__________JUN28">'[11]JUNE '!$E$28</definedName>
    <definedName name="__________JUN29">'[11]JUNE '!$E$29</definedName>
    <definedName name="__________JUN30">'[9]FY03-04 Budget'!#REF!</definedName>
    <definedName name="__________JUN36">'[9]FY03-04 Budget'!#REF!</definedName>
    <definedName name="__________JUN4">'[11]JUNE '!$E$4</definedName>
    <definedName name="__________JUN5">'[11]JUNE '!$E$5</definedName>
    <definedName name="__________JUN6">'[11]JUNE '!$E$6</definedName>
    <definedName name="__________JUN7">'[11]JUNE '!$E$7</definedName>
    <definedName name="__________JUN8">'[11]JUNE '!$E$8</definedName>
    <definedName name="__________JUN9">'[11]JUNE '!$E$9</definedName>
    <definedName name="__________MAY10">'[12]MAY '!$E$10</definedName>
    <definedName name="__________MAY11">'[12]MAY '!$E$11</definedName>
    <definedName name="__________MAY14">'[12]MAY '!$E$14</definedName>
    <definedName name="__________MAY15">'[12]MAY '!$E$15</definedName>
    <definedName name="__________MAY16">'[12]MAY '!$E$16</definedName>
    <definedName name="__________MAY17">'[12]MAY '!$E$17</definedName>
    <definedName name="__________MAY18">'[12]MAY '!$E$18</definedName>
    <definedName name="__________MAY19">'[12]MAY '!$E$19</definedName>
    <definedName name="__________MAY20">'[12]MAY '!$E$20</definedName>
    <definedName name="__________MAY21">'[12]MAY '!$E$21</definedName>
    <definedName name="__________MAY22">'[12]MAY '!$E$22</definedName>
    <definedName name="__________MAY23">'[12]MAY '!$E$23</definedName>
    <definedName name="__________MAY24">'[12]MAY '!$E$24</definedName>
    <definedName name="__________MAY25">'[12]MAY '!$E$25</definedName>
    <definedName name="__________MAY26">'[12]MAY '!$E$26</definedName>
    <definedName name="__________MAY27">'[12]MAY '!$E$27</definedName>
    <definedName name="__________MAY28">'[12]MAY '!$E$28</definedName>
    <definedName name="__________MAY30">'[12]MAY '!$E$30</definedName>
    <definedName name="__________MAY33">'[12]MAY '!$E$33</definedName>
    <definedName name="__________MAY34">'[12]MAY '!$E$34</definedName>
    <definedName name="__________MAY35">'[12]MAY '!$E$35</definedName>
    <definedName name="__________MAY4">'[12]MAY '!$E$4</definedName>
    <definedName name="__________MAY5">'[12]MAY '!$E$5</definedName>
    <definedName name="__________MAY6">'[12]MAY '!$E$6</definedName>
    <definedName name="__________MAY7">'[12]MAY '!$E$7</definedName>
    <definedName name="__________MAY8">'[12]MAY '!$E$8</definedName>
    <definedName name="__________MAY9">'[12]MAY '!$E$9</definedName>
    <definedName name="__________MBT2">'[8]Budget Pivot'!#REF!</definedName>
    <definedName name="__________R">#N/A</definedName>
    <definedName name="_________C">#N/A</definedName>
    <definedName name="_________j1">'[9]FY03-04 Budget'!#REF!</definedName>
    <definedName name="_________JUL11">'[9]FY03-04 Budget'!#REF!</definedName>
    <definedName name="_________JUL27">'[10]FY03-04 Budget'!$C$29</definedName>
    <definedName name="_________JUL29">'[9]FY03-04 Budget'!#REF!</definedName>
    <definedName name="_________JUL34">'[9]FY03-04 Budget'!#REF!</definedName>
    <definedName name="_________JUN10">'[11]JUNE '!$E$10</definedName>
    <definedName name="_________JUN11">'[11]JUNE '!$E$11</definedName>
    <definedName name="_________JUN15">'[11]JUNE '!$E$15</definedName>
    <definedName name="_________JUN16">'[11]JUNE '!$E$16</definedName>
    <definedName name="_________JUN17">'[11]JUNE '!$E$17</definedName>
    <definedName name="_________JUN19">'[11]JUNE '!$E$19</definedName>
    <definedName name="_________JUN20">'[11]JUNE '!$E$20</definedName>
    <definedName name="_________JUN22">'[11]JUNE '!$E$22</definedName>
    <definedName name="_________JUN23">'[11]JUNE '!$E$23</definedName>
    <definedName name="_________JUN24">'[11]JUNE '!$E$24</definedName>
    <definedName name="_________JUN25">'[11]JUNE '!$E$25</definedName>
    <definedName name="_________JUN26">'[11]JUNE '!$E$26</definedName>
    <definedName name="_________JUN27">'[11]JUNE '!$E$27</definedName>
    <definedName name="_________JUN28">'[11]JUNE '!$E$28</definedName>
    <definedName name="_________JUN29">'[11]JUNE '!$E$29</definedName>
    <definedName name="_________JUN30">'[9]FY03-04 Budget'!#REF!</definedName>
    <definedName name="_________JUN36">'[9]FY03-04 Budget'!#REF!</definedName>
    <definedName name="_________JUN4">'[11]JUNE '!$E$4</definedName>
    <definedName name="_________JUN5">'[11]JUNE '!$E$5</definedName>
    <definedName name="_________JUN6">'[11]JUNE '!$E$6</definedName>
    <definedName name="_________JUN7">'[11]JUNE '!$E$7</definedName>
    <definedName name="_________JUN8">'[11]JUNE '!$E$8</definedName>
    <definedName name="_________JUN9">'[11]JUNE '!$E$9</definedName>
    <definedName name="_________MAY10">'[12]MAY '!$E$10</definedName>
    <definedName name="_________MAY11">'[12]MAY '!$E$11</definedName>
    <definedName name="_________MAY14">'[12]MAY '!$E$14</definedName>
    <definedName name="_________MAY15">'[12]MAY '!$E$15</definedName>
    <definedName name="_________MAY16">'[12]MAY '!$E$16</definedName>
    <definedName name="_________MAY17">'[12]MAY '!$E$17</definedName>
    <definedName name="_________MAY18">'[12]MAY '!$E$18</definedName>
    <definedName name="_________MAY19">'[12]MAY '!$E$19</definedName>
    <definedName name="_________MAY20">'[12]MAY '!$E$20</definedName>
    <definedName name="_________MAY21">'[12]MAY '!$E$21</definedName>
    <definedName name="_________MAY22">'[12]MAY '!$E$22</definedName>
    <definedName name="_________MAY23">'[12]MAY '!$E$23</definedName>
    <definedName name="_________MAY24">'[12]MAY '!$E$24</definedName>
    <definedName name="_________MAY25">'[12]MAY '!$E$25</definedName>
    <definedName name="_________MAY26">'[12]MAY '!$E$26</definedName>
    <definedName name="_________MAY27">'[12]MAY '!$E$27</definedName>
    <definedName name="_________MAY28">'[12]MAY '!$E$28</definedName>
    <definedName name="_________MAY30">'[12]MAY '!$E$30</definedName>
    <definedName name="_________MAY33">'[12]MAY '!$E$33</definedName>
    <definedName name="_________MAY34">'[12]MAY '!$E$34</definedName>
    <definedName name="_________MAY35">'[12]MAY '!$E$35</definedName>
    <definedName name="_________MAY4">'[12]MAY '!$E$4</definedName>
    <definedName name="_________MAY5">'[12]MAY '!$E$5</definedName>
    <definedName name="_________MAY6">'[12]MAY '!$E$6</definedName>
    <definedName name="_________MAY7">'[12]MAY '!$E$7</definedName>
    <definedName name="_________MAY8">'[12]MAY '!$E$8</definedName>
    <definedName name="_________MAY9">'[12]MAY '!$E$9</definedName>
    <definedName name="_________MBT2">'[8]Budget Pivot'!#REF!</definedName>
    <definedName name="_________R">#N/A</definedName>
    <definedName name="________C">#N/A</definedName>
    <definedName name="________j1">'[9]FY03-04 Budget'!#REF!</definedName>
    <definedName name="________JUL11">'[9]FY03-04 Budget'!#REF!</definedName>
    <definedName name="________JUL27">'[10]FY03-04 Budget'!$C$29</definedName>
    <definedName name="________JUL29">'[9]FY03-04 Budget'!#REF!</definedName>
    <definedName name="________JUL34">'[9]FY03-04 Budget'!#REF!</definedName>
    <definedName name="________JUN10">'[11]JUNE '!$E$10</definedName>
    <definedName name="________JUN11">'[11]JUNE '!$E$11</definedName>
    <definedName name="________JUN15">'[11]JUNE '!$E$15</definedName>
    <definedName name="________JUN16">'[11]JUNE '!$E$16</definedName>
    <definedName name="________JUN17">'[11]JUNE '!$E$17</definedName>
    <definedName name="________JUN19">'[11]JUNE '!$E$19</definedName>
    <definedName name="________JUN20">'[11]JUNE '!$E$20</definedName>
    <definedName name="________JUN22">'[11]JUNE '!$E$22</definedName>
    <definedName name="________JUN23">'[11]JUNE '!$E$23</definedName>
    <definedName name="________JUN24">'[11]JUNE '!$E$24</definedName>
    <definedName name="________JUN25">'[11]JUNE '!$E$25</definedName>
    <definedName name="________JUN26">'[11]JUNE '!$E$26</definedName>
    <definedName name="________JUN27">'[11]JUNE '!$E$27</definedName>
    <definedName name="________JUN28">'[11]JUNE '!$E$28</definedName>
    <definedName name="________JUN29">'[11]JUNE '!$E$29</definedName>
    <definedName name="________JUN30">'[9]FY03-04 Budget'!#REF!</definedName>
    <definedName name="________JUN36">'[9]FY03-04 Budget'!#REF!</definedName>
    <definedName name="________JUN4">'[11]JUNE '!$E$4</definedName>
    <definedName name="________JUN5">'[11]JUNE '!$E$5</definedName>
    <definedName name="________JUN6">'[11]JUNE '!$E$6</definedName>
    <definedName name="________JUN7">'[11]JUNE '!$E$7</definedName>
    <definedName name="________JUN8">'[11]JUNE '!$E$8</definedName>
    <definedName name="________JUN9">'[11]JUNE '!$E$9</definedName>
    <definedName name="________MAY10">'[12]MAY '!$E$10</definedName>
    <definedName name="________MAY11">'[12]MAY '!$E$11</definedName>
    <definedName name="________MAY14">'[12]MAY '!$E$14</definedName>
    <definedName name="________MAY15">'[12]MAY '!$E$15</definedName>
    <definedName name="________MAY16">'[12]MAY '!$E$16</definedName>
    <definedName name="________MAY17">'[12]MAY '!$E$17</definedName>
    <definedName name="________MAY18">'[12]MAY '!$E$18</definedName>
    <definedName name="________MAY19">'[12]MAY '!$E$19</definedName>
    <definedName name="________MAY20">'[12]MAY '!$E$20</definedName>
    <definedName name="________MAY21">'[12]MAY '!$E$21</definedName>
    <definedName name="________MAY22">'[12]MAY '!$E$22</definedName>
    <definedName name="________MAY23">'[12]MAY '!$E$23</definedName>
    <definedName name="________MAY24">'[12]MAY '!$E$24</definedName>
    <definedName name="________MAY25">'[12]MAY '!$E$25</definedName>
    <definedName name="________MAY26">'[12]MAY '!$E$26</definedName>
    <definedName name="________MAY27">'[12]MAY '!$E$27</definedName>
    <definedName name="________MAY28">'[12]MAY '!$E$28</definedName>
    <definedName name="________MAY30">'[12]MAY '!$E$30</definedName>
    <definedName name="________MAY33">'[12]MAY '!$E$33</definedName>
    <definedName name="________MAY34">'[12]MAY '!$E$34</definedName>
    <definedName name="________MAY35">'[12]MAY '!$E$35</definedName>
    <definedName name="________MAY4">'[12]MAY '!$E$4</definedName>
    <definedName name="________MAY5">'[12]MAY '!$E$5</definedName>
    <definedName name="________MAY6">'[12]MAY '!$E$6</definedName>
    <definedName name="________MAY7">'[12]MAY '!$E$7</definedName>
    <definedName name="________MAY8">'[12]MAY '!$E$8</definedName>
    <definedName name="________MAY9">'[12]MAY '!$E$9</definedName>
    <definedName name="________MBT2">'[8]Budget Pivot'!#REF!</definedName>
    <definedName name="________R">#N/A</definedName>
    <definedName name="_______C">#N/A</definedName>
    <definedName name="_______j1">'[9]FY03-04 Budget'!#REF!</definedName>
    <definedName name="_______JUL11">'[13]FY03-04 Budget'!#REF!</definedName>
    <definedName name="_______JUL27">'[10]FY03-04 Budget'!$C$29</definedName>
    <definedName name="_______JUL29">'[13]FY03-04 Budget'!#REF!</definedName>
    <definedName name="_______JUL34">'[13]FY03-04 Budget'!#REF!</definedName>
    <definedName name="_______JUN10">'[11]JUNE '!$E$10</definedName>
    <definedName name="_______JUN11">'[11]JUNE '!$E$11</definedName>
    <definedName name="_______JUN15">'[11]JUNE '!$E$15</definedName>
    <definedName name="_______JUN16">'[11]JUNE '!$E$16</definedName>
    <definedName name="_______JUN17">'[11]JUNE '!$E$17</definedName>
    <definedName name="_______JUN19">'[11]JUNE '!$E$19</definedName>
    <definedName name="_______JUN20">'[11]JUNE '!$E$20</definedName>
    <definedName name="_______JUN22">'[11]JUNE '!$E$22</definedName>
    <definedName name="_______JUN23">'[11]JUNE '!$E$23</definedName>
    <definedName name="_______JUN24">'[11]JUNE '!$E$24</definedName>
    <definedName name="_______JUN25">'[11]JUNE '!$E$25</definedName>
    <definedName name="_______JUN26">'[11]JUNE '!$E$26</definedName>
    <definedName name="_______JUN27">'[11]JUNE '!$E$27</definedName>
    <definedName name="_______JUN28">'[11]JUNE '!$E$28</definedName>
    <definedName name="_______JUN29">'[11]JUNE '!$E$29</definedName>
    <definedName name="_______JUN30">'[13]FY03-04 Budget'!#REF!</definedName>
    <definedName name="_______JUN36">'[13]FY03-04 Budget'!#REF!</definedName>
    <definedName name="_______JUN4">'[11]JUNE '!$E$4</definedName>
    <definedName name="_______JUN5">'[11]JUNE '!$E$5</definedName>
    <definedName name="_______JUN6">'[11]JUNE '!$E$6</definedName>
    <definedName name="_______JUN7">'[11]JUNE '!$E$7</definedName>
    <definedName name="_______JUN8">'[11]JUNE '!$E$8</definedName>
    <definedName name="_______JUN9">'[11]JUNE '!$E$9</definedName>
    <definedName name="_______MAY10">'[14]MAY '!$E$10</definedName>
    <definedName name="_______MAY11">'[14]MAY '!$E$11</definedName>
    <definedName name="_______MAY14">'[14]MAY '!$E$14</definedName>
    <definedName name="_______MAY15">'[14]MAY '!$E$15</definedName>
    <definedName name="_______MAY16">'[14]MAY '!$E$16</definedName>
    <definedName name="_______MAY17">'[14]MAY '!$E$17</definedName>
    <definedName name="_______MAY18">'[14]MAY '!$E$18</definedName>
    <definedName name="_______MAY19">'[14]MAY '!$E$19</definedName>
    <definedName name="_______MAY20">'[14]MAY '!$E$20</definedName>
    <definedName name="_______MAY21">'[14]MAY '!$E$21</definedName>
    <definedName name="_______MAY22">'[14]MAY '!$E$22</definedName>
    <definedName name="_______MAY23">'[14]MAY '!$E$23</definedName>
    <definedName name="_______MAY24">'[14]MAY '!$E$24</definedName>
    <definedName name="_______MAY25">'[14]MAY '!$E$25</definedName>
    <definedName name="_______MAY26">'[14]MAY '!$E$26</definedName>
    <definedName name="_______MAY27">'[14]MAY '!$E$27</definedName>
    <definedName name="_______MAY28">'[14]MAY '!$E$28</definedName>
    <definedName name="_______MAY30">'[14]MAY '!$E$30</definedName>
    <definedName name="_______MAY33">'[14]MAY '!$E$33</definedName>
    <definedName name="_______MAY34">'[14]MAY '!$E$34</definedName>
    <definedName name="_______MAY35">'[14]MAY '!$E$35</definedName>
    <definedName name="_______MAY4">'[14]MAY '!$E$4</definedName>
    <definedName name="_______MAY5">'[14]MAY '!$E$5</definedName>
    <definedName name="_______MAY6">'[14]MAY '!$E$6</definedName>
    <definedName name="_______MAY7">'[14]MAY '!$E$7</definedName>
    <definedName name="_______MAY8">'[14]MAY '!$E$8</definedName>
    <definedName name="_______MAY9">'[14]MAY '!$E$9</definedName>
    <definedName name="_______MBT2">'[8]Budget Pivot'!#REF!</definedName>
    <definedName name="_______R">#N/A</definedName>
    <definedName name="______C">#N/A</definedName>
    <definedName name="______j1">'[9]FY03-04 Budget'!#REF!</definedName>
    <definedName name="______JUL11">'[4]FY03-04 Budget'!#REF!</definedName>
    <definedName name="______JUL112">'[13]FY03-04 Budget'!#REF!</definedName>
    <definedName name="______JUL27">'[10]FY03-04 Budget'!$C$29</definedName>
    <definedName name="______JUL29">'[4]FY03-04 Budget'!#REF!</definedName>
    <definedName name="______JUL34">'[4]FY03-04 Budget'!#REF!</definedName>
    <definedName name="______JUL342">'[13]FY03-04 Budget'!#REF!</definedName>
    <definedName name="______JULY292">'[13]FY03-04 Budget'!#REF!</definedName>
    <definedName name="______JUN10">'[11]JUNE '!$E$10</definedName>
    <definedName name="______JUN11">'[11]JUNE '!$E$11</definedName>
    <definedName name="______JUN15">'[11]JUNE '!$E$15</definedName>
    <definedName name="______JUN16">'[11]JUNE '!$E$16</definedName>
    <definedName name="______JUN17">'[11]JUNE '!$E$17</definedName>
    <definedName name="______JUN19">'[11]JUNE '!$E$19</definedName>
    <definedName name="______JUN20">'[11]JUNE '!$E$20</definedName>
    <definedName name="______JUN22">'[11]JUNE '!$E$22</definedName>
    <definedName name="______JUN23">'[11]JUNE '!$E$23</definedName>
    <definedName name="______JUN24">'[11]JUNE '!$E$24</definedName>
    <definedName name="______JUN25">'[11]JUNE '!$E$25</definedName>
    <definedName name="______JUN26">'[11]JUNE '!$E$26</definedName>
    <definedName name="______JUN27">'[11]JUNE '!$E$27</definedName>
    <definedName name="______JUN28">'[11]JUNE '!$E$28</definedName>
    <definedName name="______JUN29">'[11]JUNE '!$E$29</definedName>
    <definedName name="______JUN30">'[4]FY03-04 Budget'!#REF!</definedName>
    <definedName name="______JUN302">'[13]FY03-04 Budget'!#REF!</definedName>
    <definedName name="______JUN36">'[4]FY03-04 Budget'!#REF!</definedName>
    <definedName name="______JUN362">'[13]FY03-04 Budget'!#REF!</definedName>
    <definedName name="______JUN4">'[11]JUNE '!$E$4</definedName>
    <definedName name="______JUN5">'[11]JUNE '!$E$5</definedName>
    <definedName name="______JUN6">'[11]JUNE '!$E$6</definedName>
    <definedName name="______JUN7">'[11]JUNE '!$E$7</definedName>
    <definedName name="______JUN8">'[11]JUNE '!$E$8</definedName>
    <definedName name="______JUN9">'[11]JUNE '!$E$9</definedName>
    <definedName name="______MAY10">'[5]MAY '!$E$10</definedName>
    <definedName name="______MAY102">'[14]MAY '!$E$10</definedName>
    <definedName name="______MAY11">'[5]MAY '!$E$11</definedName>
    <definedName name="______MAY112">'[14]MAY '!$E$11</definedName>
    <definedName name="______MAY14">'[5]MAY '!$E$14</definedName>
    <definedName name="______MAY142">'[14]MAY '!$E$14</definedName>
    <definedName name="______MAY15">'[5]MAY '!$E$15</definedName>
    <definedName name="______MAY152">'[14]MAY '!$E$15</definedName>
    <definedName name="______MAY16">'[5]MAY '!$E$16</definedName>
    <definedName name="______MAY162">'[14]MAY '!$E$16</definedName>
    <definedName name="______MAY17">'[5]MAY '!$E$17</definedName>
    <definedName name="______MAY172">'[14]MAY '!$E$17</definedName>
    <definedName name="______MAY18">'[5]MAY '!$E$18</definedName>
    <definedName name="______May182">'[14]MAY '!$E$18</definedName>
    <definedName name="______MAY19">'[5]MAY '!$E$19</definedName>
    <definedName name="______May192">'[14]MAY '!$E$19</definedName>
    <definedName name="______MAY20">'[5]MAY '!$E$20</definedName>
    <definedName name="______MAY202">'[14]MAY '!$E$20</definedName>
    <definedName name="______MAY21">'[5]MAY '!$E$21</definedName>
    <definedName name="______MAY212">'[14]MAY '!$E$21</definedName>
    <definedName name="______MAY22">'[5]MAY '!$E$22</definedName>
    <definedName name="______MAY222">'[14]MAY '!$E$22</definedName>
    <definedName name="______MAY23">'[5]MAY '!$E$23</definedName>
    <definedName name="______May232">'[14]MAY '!$E$23</definedName>
    <definedName name="______MAY24">'[5]MAY '!$E$24</definedName>
    <definedName name="______MAY25">'[5]MAY '!$E$25</definedName>
    <definedName name="______MAY26">'[5]MAY '!$E$26</definedName>
    <definedName name="______MAY27">'[5]MAY '!$E$27</definedName>
    <definedName name="______MAY28">'[5]MAY '!$E$28</definedName>
    <definedName name="______MAY30">'[5]MAY '!$E$30</definedName>
    <definedName name="______MAY33">'[5]MAY '!$E$33</definedName>
    <definedName name="______MAY34">'[5]MAY '!$E$34</definedName>
    <definedName name="______MAY35">'[5]MAY '!$E$35</definedName>
    <definedName name="______MAY4">'[5]MAY '!$E$4</definedName>
    <definedName name="______MAY5">'[5]MAY '!$E$5</definedName>
    <definedName name="______MAY6">'[5]MAY '!$E$6</definedName>
    <definedName name="______MAY7">'[5]MAY '!$E$7</definedName>
    <definedName name="______MAY8">'[5]MAY '!$E$8</definedName>
    <definedName name="______MAY9">'[5]MAY '!$E$9</definedName>
    <definedName name="______MBT2">'[8]Budget Pivot'!#REF!</definedName>
    <definedName name="______R">#N/A</definedName>
    <definedName name="_____C">#N/A</definedName>
    <definedName name="_____j1">'[9]FY03-04 Budget'!#REF!</definedName>
    <definedName name="_____JUL11">'[13]FY03-04 Budget'!#REF!</definedName>
    <definedName name="_____JUL27">'[10]FY03-04 Budget'!$C$29</definedName>
    <definedName name="_____JUL29">'[13]FY03-04 Budget'!#REF!</definedName>
    <definedName name="_____JUL34">'[13]FY03-04 Budget'!#REF!</definedName>
    <definedName name="_____JUN10">'[11]JUNE '!$E$10</definedName>
    <definedName name="_____JUN11">'[11]JUNE '!$E$11</definedName>
    <definedName name="_____JUN15">'[11]JUNE '!$E$15</definedName>
    <definedName name="_____JUN16">'[11]JUNE '!$E$16</definedName>
    <definedName name="_____JUN17">'[11]JUNE '!$E$17</definedName>
    <definedName name="_____JUN19">'[11]JUNE '!$E$19</definedName>
    <definedName name="_____JUN20">'[11]JUNE '!$E$20</definedName>
    <definedName name="_____JUN22">'[11]JUNE '!$E$22</definedName>
    <definedName name="_____JUN23">'[11]JUNE '!$E$23</definedName>
    <definedName name="_____JUN24">'[11]JUNE '!$E$24</definedName>
    <definedName name="_____JUN25">'[11]JUNE '!$E$25</definedName>
    <definedName name="_____JUN26">'[11]JUNE '!$E$26</definedName>
    <definedName name="_____JUN27">'[11]JUNE '!$E$27</definedName>
    <definedName name="_____JUN28">'[11]JUNE '!$E$28</definedName>
    <definedName name="_____JUN29">'[11]JUNE '!$E$29</definedName>
    <definedName name="_____JUN30">'[13]FY03-04 Budget'!#REF!</definedName>
    <definedName name="_____JUN36">'[13]FY03-04 Budget'!#REF!</definedName>
    <definedName name="_____JUN4">'[11]JUNE '!$E$4</definedName>
    <definedName name="_____JUN5">'[11]JUNE '!$E$5</definedName>
    <definedName name="_____JUN6">'[11]JUNE '!$E$6</definedName>
    <definedName name="_____JUN7">'[11]JUNE '!$E$7</definedName>
    <definedName name="_____JUN8">'[11]JUNE '!$E$8</definedName>
    <definedName name="_____JUN9">'[11]JUNE '!$E$9</definedName>
    <definedName name="_____MAY10">'[14]MAY '!$E$10</definedName>
    <definedName name="_____MAY11">'[14]MAY '!$E$11</definedName>
    <definedName name="_____MAY14">'[14]MAY '!$E$14</definedName>
    <definedName name="_____MAY15">'[14]MAY '!$E$15</definedName>
    <definedName name="_____MAY16">'[14]MAY '!$E$16</definedName>
    <definedName name="_____MAY17">'[14]MAY '!$E$17</definedName>
    <definedName name="_____MAY18">'[14]MAY '!$E$18</definedName>
    <definedName name="_____MAY19">'[14]MAY '!$E$19</definedName>
    <definedName name="_____MAY20">'[14]MAY '!$E$20</definedName>
    <definedName name="_____MAY21">'[14]MAY '!$E$21</definedName>
    <definedName name="_____MAY22">'[14]MAY '!$E$22</definedName>
    <definedName name="_____MAY23">'[14]MAY '!$E$23</definedName>
    <definedName name="_____MAY24">'[14]MAY '!$E$24</definedName>
    <definedName name="_____MAY25">'[14]MAY '!$E$25</definedName>
    <definedName name="_____MAY26">'[14]MAY '!$E$26</definedName>
    <definedName name="_____MAY27">'[14]MAY '!$E$27</definedName>
    <definedName name="_____MAY28">'[14]MAY '!$E$28</definedName>
    <definedName name="_____MAY30">'[14]MAY '!$E$30</definedName>
    <definedName name="_____MAY33">'[14]MAY '!$E$33</definedName>
    <definedName name="_____MAY34">'[14]MAY '!$E$34</definedName>
    <definedName name="_____MAY35">'[14]MAY '!$E$35</definedName>
    <definedName name="_____MAY4">'[14]MAY '!$E$4</definedName>
    <definedName name="_____MAY5">'[14]MAY '!$E$5</definedName>
    <definedName name="_____MAY6">'[14]MAY '!$E$6</definedName>
    <definedName name="_____MAY7">'[14]MAY '!$E$7</definedName>
    <definedName name="_____MAY8">'[14]MAY '!$E$8</definedName>
    <definedName name="_____MAY9">'[14]MAY '!$E$9</definedName>
    <definedName name="_____MBT2">'[8]Budget Pivot'!#REF!</definedName>
    <definedName name="_____R">#N/A</definedName>
    <definedName name="____C">#N/A</definedName>
    <definedName name="____j1">'[13]FY03-04 Budget'!#REF!</definedName>
    <definedName name="____JUL11">'[13]FY03-04 Budget'!#REF!</definedName>
    <definedName name="____JUL27">'[10]FY03-04 Budget'!$C$29</definedName>
    <definedName name="____JUL29">'[13]FY03-04 Budget'!#REF!</definedName>
    <definedName name="____JUL34">'[13]FY03-04 Budget'!#REF!</definedName>
    <definedName name="____JUN10">'[11]JUNE '!$E$10</definedName>
    <definedName name="____JUN11">'[11]JUNE '!$E$11</definedName>
    <definedName name="____JUN15">'[11]JUNE '!$E$15</definedName>
    <definedName name="____JUN16">'[11]JUNE '!$E$16</definedName>
    <definedName name="____JUN17">'[11]JUNE '!$E$17</definedName>
    <definedName name="____JUN19">'[11]JUNE '!$E$19</definedName>
    <definedName name="____JUN20">'[11]JUNE '!$E$20</definedName>
    <definedName name="____JUN22">'[11]JUNE '!$E$22</definedName>
    <definedName name="____JUN23">'[11]JUNE '!$E$23</definedName>
    <definedName name="____JUN24">'[11]JUNE '!$E$24</definedName>
    <definedName name="____JUN25">'[11]JUNE '!$E$25</definedName>
    <definedName name="____JUN26">'[11]JUNE '!$E$26</definedName>
    <definedName name="____JUN27">'[11]JUNE '!$E$27</definedName>
    <definedName name="____JUN28">'[11]JUNE '!$E$28</definedName>
    <definedName name="____JUN29">'[11]JUNE '!$E$29</definedName>
    <definedName name="____JUN30">'[13]FY03-04 Budget'!#REF!</definedName>
    <definedName name="____JUN36">'[13]FY03-04 Budget'!#REF!</definedName>
    <definedName name="____JUN4">'[11]JUNE '!$E$4</definedName>
    <definedName name="____JUN5">'[11]JUNE '!$E$5</definedName>
    <definedName name="____JUN6">'[11]JUNE '!$E$6</definedName>
    <definedName name="____JUN7">'[11]JUNE '!$E$7</definedName>
    <definedName name="____JUN8">'[11]JUNE '!$E$8</definedName>
    <definedName name="____JUN9">'[11]JUNE '!$E$9</definedName>
    <definedName name="____MAY10">'[14]MAY '!$E$10</definedName>
    <definedName name="____MAY11">'[14]MAY '!$E$11</definedName>
    <definedName name="____MAY14">'[14]MAY '!$E$14</definedName>
    <definedName name="____MAY15">'[14]MAY '!$E$15</definedName>
    <definedName name="____MAY16">'[14]MAY '!$E$16</definedName>
    <definedName name="____MAY17">'[14]MAY '!$E$17</definedName>
    <definedName name="____MAY18">'[14]MAY '!$E$18</definedName>
    <definedName name="____MAY19">'[14]MAY '!$E$19</definedName>
    <definedName name="____MAY20">'[14]MAY '!$E$20</definedName>
    <definedName name="____MAY21">'[14]MAY '!$E$21</definedName>
    <definedName name="____MAY22">'[14]MAY '!$E$22</definedName>
    <definedName name="____MAY23">'[14]MAY '!$E$23</definedName>
    <definedName name="____MAY24">'[14]MAY '!$E$24</definedName>
    <definedName name="____MAY25">'[14]MAY '!$E$25</definedName>
    <definedName name="____MAY26">'[14]MAY '!$E$26</definedName>
    <definedName name="____MAY27">'[14]MAY '!$E$27</definedName>
    <definedName name="____MAY28">'[14]MAY '!$E$28</definedName>
    <definedName name="____MAY30">'[14]MAY '!$E$30</definedName>
    <definedName name="____MAY33">'[14]MAY '!$E$33</definedName>
    <definedName name="____MAY34">'[14]MAY '!$E$34</definedName>
    <definedName name="____MAY35">'[14]MAY '!$E$35</definedName>
    <definedName name="____MAY4">'[14]MAY '!$E$4</definedName>
    <definedName name="____MAY5">'[14]MAY '!$E$5</definedName>
    <definedName name="____MAY6">'[14]MAY '!$E$6</definedName>
    <definedName name="____MAY7">'[14]MAY '!$E$7</definedName>
    <definedName name="____MAY8">'[14]MAY '!$E$8</definedName>
    <definedName name="____MAY9">'[14]MAY '!$E$9</definedName>
    <definedName name="____MBT2">'[8]Budget Pivot'!#REF!</definedName>
    <definedName name="____R">#N/A</definedName>
    <definedName name="___C">#N/A</definedName>
    <definedName name="___j1">'[13]FY03-04 Budget'!#REF!</definedName>
    <definedName name="___JUL11">'[2]FY03-04 Budget'!#REF!</definedName>
    <definedName name="___JUL27">'[10]FY03-04 Budget'!$C$29</definedName>
    <definedName name="___JUL29">'[2]FY03-04 Budget'!#REF!</definedName>
    <definedName name="___JUL34">'[2]FY03-04 Budget'!#REF!</definedName>
    <definedName name="___JUN10">'[11]JUNE '!$E$10</definedName>
    <definedName name="___JUN11">'[11]JUNE '!$E$11</definedName>
    <definedName name="___JUN15">'[11]JUNE '!$E$15</definedName>
    <definedName name="___JUN16">'[11]JUNE '!$E$16</definedName>
    <definedName name="___JUN17">'[11]JUNE '!$E$17</definedName>
    <definedName name="___JUN19">'[11]JUNE '!$E$19</definedName>
    <definedName name="___JUN20">'[11]JUNE '!$E$20</definedName>
    <definedName name="___JUN22">'[11]JUNE '!$E$22</definedName>
    <definedName name="___JUN23">'[11]JUNE '!$E$23</definedName>
    <definedName name="___JUN24">'[11]JUNE '!$E$24</definedName>
    <definedName name="___JUN25">'[11]JUNE '!$E$25</definedName>
    <definedName name="___JUN26">'[11]JUNE '!$E$26</definedName>
    <definedName name="___JUN27">'[11]JUNE '!$E$27</definedName>
    <definedName name="___JUN28">'[11]JUNE '!$E$28</definedName>
    <definedName name="___JUN29">'[11]JUNE '!$E$29</definedName>
    <definedName name="___JUN30">'[2]FY03-04 Budget'!#REF!</definedName>
    <definedName name="___JUN36">'[2]FY03-04 Budget'!#REF!</definedName>
    <definedName name="___JUN4">'[11]JUNE '!$E$4</definedName>
    <definedName name="___JUN5">'[11]JUNE '!$E$5</definedName>
    <definedName name="___JUN6">'[11]JUNE '!$E$6</definedName>
    <definedName name="___JUN7">'[11]JUNE '!$E$7</definedName>
    <definedName name="___JUN8">'[11]JUNE '!$E$8</definedName>
    <definedName name="___JUN9">'[11]JUNE '!$E$9</definedName>
    <definedName name="___MAY10">'[3]MAY '!$E$10</definedName>
    <definedName name="___MAY11">'[3]MAY '!$E$11</definedName>
    <definedName name="___MAY14">'[3]MAY '!$E$14</definedName>
    <definedName name="___MAY15">'[3]MAY '!$E$15</definedName>
    <definedName name="___MAY16">'[3]MAY '!$E$16</definedName>
    <definedName name="___MAY17">'[3]MAY '!$E$17</definedName>
    <definedName name="___MAY18">'[3]MAY '!$E$18</definedName>
    <definedName name="___MAY19">'[3]MAY '!$E$19</definedName>
    <definedName name="___MAY20">'[3]MAY '!$E$20</definedName>
    <definedName name="___MAY21">'[3]MAY '!$E$21</definedName>
    <definedName name="___MAY22">'[3]MAY '!$E$22</definedName>
    <definedName name="___MAY23">'[3]MAY '!$E$23</definedName>
    <definedName name="___MAY24">'[3]MAY '!$E$24</definedName>
    <definedName name="___MAY25">'[3]MAY '!$E$25</definedName>
    <definedName name="___MAY26">'[3]MAY '!$E$26</definedName>
    <definedName name="___MAY27">'[3]MAY '!$E$27</definedName>
    <definedName name="___MAY28">'[3]MAY '!$E$28</definedName>
    <definedName name="___MAY30">'[3]MAY '!$E$30</definedName>
    <definedName name="___MAY33">'[3]MAY '!$E$33</definedName>
    <definedName name="___MAY34">'[3]MAY '!$E$34</definedName>
    <definedName name="___MAY35">'[3]MAY '!$E$35</definedName>
    <definedName name="___MAY4">'[3]MAY '!$E$4</definedName>
    <definedName name="___MAY5">'[3]MAY '!$E$5</definedName>
    <definedName name="___MAY6">'[3]MAY '!$E$6</definedName>
    <definedName name="___MAY7">'[3]MAY '!$E$7</definedName>
    <definedName name="___MAY8">'[3]MAY '!$E$8</definedName>
    <definedName name="___MAY9">'[3]MAY '!$E$9</definedName>
    <definedName name="___MBT2">'[8]Budget Pivot'!#REF!</definedName>
    <definedName name="___R">#N/A</definedName>
    <definedName name="__C">#N/A</definedName>
    <definedName name="__IntlFixup" hidden="1">TRUE</definedName>
    <definedName name="__j1">'[2]FY03-04 Budget'!#REF!</definedName>
    <definedName name="__JUL11">'[13]FY03-04 Budget'!#REF!</definedName>
    <definedName name="__JUL27">'[15]FY03-04 Budget'!$C$29</definedName>
    <definedName name="__JUL29">'[13]FY03-04 Budget'!#REF!</definedName>
    <definedName name="__JUL34">'[13]FY03-04 Budget'!#REF!</definedName>
    <definedName name="__JUN10">'[16]JUNE '!$E$10</definedName>
    <definedName name="__JUN11">'[16]JUNE '!$E$11</definedName>
    <definedName name="__JUN15">'[16]JUNE '!$E$15</definedName>
    <definedName name="__JUN16">'[16]JUNE '!$E$16</definedName>
    <definedName name="__JUN17">'[16]JUNE '!$E$17</definedName>
    <definedName name="__JUN19">'[16]JUNE '!$E$19</definedName>
    <definedName name="__JUN20">'[16]JUNE '!$E$20</definedName>
    <definedName name="__JUN22">'[16]JUNE '!$E$22</definedName>
    <definedName name="__JUN23">'[16]JUNE '!$E$23</definedName>
    <definedName name="__JUN24">'[16]JUNE '!$E$24</definedName>
    <definedName name="__JUN25">'[16]JUNE '!$E$25</definedName>
    <definedName name="__JUN26">'[16]JUNE '!$E$26</definedName>
    <definedName name="__JUN27">'[16]JUNE '!$E$27</definedName>
    <definedName name="__JUN28">'[16]JUNE '!$E$28</definedName>
    <definedName name="__JUN29">'[16]JUNE '!$E$29</definedName>
    <definedName name="__JUN30">'[13]FY03-04 Budget'!#REF!</definedName>
    <definedName name="__JUN36">'[13]FY03-04 Budget'!#REF!</definedName>
    <definedName name="__JUN4">'[16]JUNE '!$E$4</definedName>
    <definedName name="__JUN5">'[16]JUNE '!$E$5</definedName>
    <definedName name="__JUN6">'[16]JUNE '!$E$6</definedName>
    <definedName name="__JUN7">'[16]JUNE '!$E$7</definedName>
    <definedName name="__JUN8">'[16]JUNE '!$E$8</definedName>
    <definedName name="__JUN9">'[16]JUNE '!$E$9</definedName>
    <definedName name="__MAY10">'[14]MAY '!$E$10</definedName>
    <definedName name="__MAY11">'[14]MAY '!$E$11</definedName>
    <definedName name="__MAY14">'[14]MAY '!$E$14</definedName>
    <definedName name="__MAY15">'[14]MAY '!$E$15</definedName>
    <definedName name="__MAY16">'[14]MAY '!$E$16</definedName>
    <definedName name="__MAY17">'[14]MAY '!$E$17</definedName>
    <definedName name="__MAY18">'[14]MAY '!$E$18</definedName>
    <definedName name="__MAY19">'[14]MAY '!$E$19</definedName>
    <definedName name="__MAY20">'[14]MAY '!$E$20</definedName>
    <definedName name="__MAY21">'[14]MAY '!$E$21</definedName>
    <definedName name="__MAY22">'[14]MAY '!$E$22</definedName>
    <definedName name="__MAY23">'[14]MAY '!$E$23</definedName>
    <definedName name="__MAY24">'[14]MAY '!$E$24</definedName>
    <definedName name="__MAY25">'[14]MAY '!$E$25</definedName>
    <definedName name="__MAY26">'[14]MAY '!$E$26</definedName>
    <definedName name="__MAY27">'[14]MAY '!$E$27</definedName>
    <definedName name="__MAY28">'[14]MAY '!$E$28</definedName>
    <definedName name="__MAY30">'[14]MAY '!$E$30</definedName>
    <definedName name="__MAY33">'[14]MAY '!$E$33</definedName>
    <definedName name="__MAY34">'[14]MAY '!$E$34</definedName>
    <definedName name="__MAY35">'[14]MAY '!$E$35</definedName>
    <definedName name="__MAY4">'[14]MAY '!$E$4</definedName>
    <definedName name="__MAY5">'[14]MAY '!$E$5</definedName>
    <definedName name="__MAY6">'[14]MAY '!$E$6</definedName>
    <definedName name="__MAY7">'[14]MAY '!$E$7</definedName>
    <definedName name="__MAY8">'[14]MAY '!$E$8</definedName>
    <definedName name="__MAY9">'[14]MAY '!$E$9</definedName>
    <definedName name="__MBT2">'[8]Budget Pivot'!#REF!</definedName>
    <definedName name="__R">#N/A</definedName>
    <definedName name="_185WEST">#REF!</definedName>
    <definedName name="_C">#N/A</definedName>
    <definedName name="_Dist_Values" hidden="1">'[17]Summary - Total'!#REF!</definedName>
    <definedName name="_j1">'[2]FY03-04 Budget'!#REF!</definedName>
    <definedName name="_JUL11">'[13]FY03-04 Budget'!#REF!</definedName>
    <definedName name="_JUL27">'[15]FY03-04 Budget'!$C$29</definedName>
    <definedName name="_JUL29">'[13]FY03-04 Budget'!#REF!</definedName>
    <definedName name="_JUL34">'[13]FY03-04 Budget'!#REF!</definedName>
    <definedName name="_JUN10">'[16]JUNE '!$E$10</definedName>
    <definedName name="_JUN11">'[16]JUNE '!$E$11</definedName>
    <definedName name="_JUN15">'[16]JUNE '!$E$15</definedName>
    <definedName name="_JUN16">'[16]JUNE '!$E$16</definedName>
    <definedName name="_JUN17">'[16]JUNE '!$E$17</definedName>
    <definedName name="_JUN19">'[16]JUNE '!$E$19</definedName>
    <definedName name="_JUN20">'[16]JUNE '!$E$20</definedName>
    <definedName name="_JUN22">'[16]JUNE '!$E$22</definedName>
    <definedName name="_JUN23">'[16]JUNE '!$E$23</definedName>
    <definedName name="_JUN24">'[16]JUNE '!$E$24</definedName>
    <definedName name="_JUN25">'[16]JUNE '!$E$25</definedName>
    <definedName name="_JUN26">'[16]JUNE '!$E$26</definedName>
    <definedName name="_JUN27">'[16]JUNE '!$E$27</definedName>
    <definedName name="_JUN28">'[16]JUNE '!$E$28</definedName>
    <definedName name="_JUN29">'[16]JUNE '!$E$29</definedName>
    <definedName name="_JUN30">'[13]FY03-04 Budget'!#REF!</definedName>
    <definedName name="_JUN36">'[13]FY03-04 Budget'!#REF!</definedName>
    <definedName name="_JUN4">'[16]JUNE '!$E$4</definedName>
    <definedName name="_JUN5">'[16]JUNE '!$E$5</definedName>
    <definedName name="_JUN6">'[16]JUNE '!$E$6</definedName>
    <definedName name="_JUN7">'[16]JUNE '!$E$7</definedName>
    <definedName name="_JUN8">'[16]JUNE '!$E$8</definedName>
    <definedName name="_JUN9">'[16]JUNE '!$E$9</definedName>
    <definedName name="_Key1" hidden="1">#REF!</definedName>
    <definedName name="_MAY10">'[14]MAY '!$E$10</definedName>
    <definedName name="_MAY11">'[14]MAY '!$E$11</definedName>
    <definedName name="_MAY14">'[14]MAY '!$E$14</definedName>
    <definedName name="_MAY15">'[14]MAY '!$E$15</definedName>
    <definedName name="_MAY16">'[14]MAY '!$E$16</definedName>
    <definedName name="_MAY17">'[14]MAY '!$E$17</definedName>
    <definedName name="_MAY18">'[14]MAY '!$E$18</definedName>
    <definedName name="_MAY19">'[14]MAY '!$E$19</definedName>
    <definedName name="_MAY20">'[14]MAY '!$E$20</definedName>
    <definedName name="_MAY21">'[14]MAY '!$E$21</definedName>
    <definedName name="_MAY22">'[14]MAY '!$E$22</definedName>
    <definedName name="_MAY23">'[14]MAY '!$E$23</definedName>
    <definedName name="_MAY24">'[14]MAY '!$E$24</definedName>
    <definedName name="_MAY25">'[14]MAY '!$E$25</definedName>
    <definedName name="_MAY26">'[14]MAY '!$E$26</definedName>
    <definedName name="_MAY27">'[14]MAY '!$E$27</definedName>
    <definedName name="_MAY28">'[14]MAY '!$E$28</definedName>
    <definedName name="_MAY30">'[14]MAY '!$E$30</definedName>
    <definedName name="_MAY33">'[14]MAY '!$E$33</definedName>
    <definedName name="_MAY34">'[14]MAY '!$E$34</definedName>
    <definedName name="_MAY35">'[14]MAY '!$E$35</definedName>
    <definedName name="_MAY4">'[14]MAY '!$E$4</definedName>
    <definedName name="_MAY5">'[14]MAY '!$E$5</definedName>
    <definedName name="_MAY6">'[14]MAY '!$E$6</definedName>
    <definedName name="_MAY7">'[14]MAY '!$E$7</definedName>
    <definedName name="_MAY8">'[14]MAY '!$E$8</definedName>
    <definedName name="_MAY9">'[14]MAY '!$E$9</definedName>
    <definedName name="_MBT2">'[8]Budget Pivot'!#REF!</definedName>
    <definedName name="_NST01">#N/A</definedName>
    <definedName name="_Order1" hidden="1">0</definedName>
    <definedName name="_Order2" hidden="1">0</definedName>
    <definedName name="_R">#N/A</definedName>
    <definedName name="_Sort" hidden="1">#REF!</definedName>
    <definedName name="A">#N/A</definedName>
    <definedName name="AA" hidden="1">{"'Revised 103198'!$A$1:$K$55"}</definedName>
    <definedName name="aaa" hidden="1">{"'Sheet1'!$A$1738:$L$2139"}</definedName>
    <definedName name="AB" hidden="1">{"'Revised 103198'!$A$1:$K$55"}</definedName>
    <definedName name="acasdsadasd" hidden="1">{#N/A,#N/A,TRUE,"Graphs";#N/A,#N/A,TRUE,"TOTAL";#N/A,#N/A,TRUE,"Routes";#N/A,#N/A,TRUE,"DARS";#N/A,#N/A,TRUE,"Rt.1";#N/A,#N/A,TRUE,"Rt.2";#N/A,#N/A,TRUE,"Rte 3";#N/A,#N/A,TRUE,"Rte4";#N/A,#N/A,TRUE,"Rte4A";#N/A,#N/A,TRUE,"Rte5";#N/A,#N/A,TRUE,"Rte6";#N/A,#N/A,TRUE,"Rte7";#N/A,#N/A,TRUE,"Clk DAR";#N/A,#N/A,TRUE,"Lkpt DAR";#N/A,#N/A,TRUE,"RCRC"}</definedName>
    <definedName name="Access_Button" hidden="1">"Loan_Front_End_Input_List"</definedName>
    <definedName name="AccessDatabase" hidden="1">"C:\My Documents\DAVE\MODELS\Cash at Risk\Loan Front End.mdb"</definedName>
    <definedName name="Amador_Demographics_2025">#REF!</definedName>
    <definedName name="AREA">#N/A</definedName>
    <definedName name="B">#N/A</definedName>
    <definedName name="button_area_1">#REF!</definedName>
    <definedName name="celltips_area">#REF!</definedName>
    <definedName name="CODE">#N/A</definedName>
    <definedName name="Customer_List">#REF!</definedName>
    <definedName name="D">#N/A</definedName>
    <definedName name="_xlnm.Database">#REF!</definedName>
    <definedName name="ddd" hidden="1">{#N/A,#N/A,FALSE,"CAPREIT"}</definedName>
    <definedName name="dddddd" hidden="1">{#N/A,#N/A,FALSE,"CAPREIT"}</definedName>
    <definedName name="ddddddd" hidden="1">{#N/A,#N/A,FALSE,"CAPREIT"}</definedName>
    <definedName name="delete">'[18]Agency Survey Results'!delete</definedName>
    <definedName name="dflt1">[19]Sheet1!$E$22</definedName>
    <definedName name="dflt2">[19]Sheet1!$E$23</definedName>
    <definedName name="dflt3">[19]Sheet1!$D$24</definedName>
    <definedName name="dflt4">[19]Sheet1!$E$26</definedName>
    <definedName name="dflt5">[19]Sheet1!$E$27</definedName>
    <definedName name="dflt6">[19]Sheet1!$D$28</definedName>
    <definedName name="dflt7">[19]Sheet1!$G$27</definedName>
    <definedName name="Douglas_County">#REF!</definedName>
    <definedName name="Drivers">[20]Reference!#REF!</definedName>
    <definedName name="E">#N/A</definedName>
    <definedName name="Employees">[20]Reference!$B:$B</definedName>
    <definedName name="F">#N/A</definedName>
    <definedName name="fdfdfd" hidden="1">{#N/A,#N/A,FALSE,"CAPREIT"}</definedName>
    <definedName name="fdfdfdf" hidden="1">{#N/A,#N/A,FALSE,"CAPREIT"}</definedName>
    <definedName name="FINAL">#N/A</definedName>
    <definedName name="G">#N/A</definedName>
    <definedName name="H">#N/A</definedName>
    <definedName name="Hourly_Cost">#REF!</definedName>
    <definedName name="HTML_CodePage" hidden="1">1252</definedName>
    <definedName name="HTML_Control" hidden="1">{"'Final'!$A$1:$K$1"}</definedName>
    <definedName name="HTML_Description" hidden="1">""</definedName>
    <definedName name="HTML_Email" hidden="1">""</definedName>
    <definedName name="HTML_Header" hidden="1">"Final"</definedName>
    <definedName name="HTML_LastUpdate" hidden="1">"8/21/00"</definedName>
    <definedName name="HTML_LineAfter" hidden="1">FALSE</definedName>
    <definedName name="HTML_LineBefore" hidden="1">FALSE</definedName>
    <definedName name="HTML_Name" hidden="1">"nosekg"</definedName>
    <definedName name="HTML_OBDlg2" hidden="1">TRUE</definedName>
    <definedName name="HTML_OBDlg4" hidden="1">TRUE</definedName>
    <definedName name="HTML_OS" hidden="1">0</definedName>
    <definedName name="HTML_PathFile" hidden="1">"A:\table12 Html.htm"</definedName>
    <definedName name="HTML_Title" hidden="1">"Table 12"</definedName>
    <definedName name="HTML1_1" hidden="1">"'[96RT001.xls]96RT001'!$A$1:$Q$1529"</definedName>
    <definedName name="HTML1_10" hidden="1">""</definedName>
    <definedName name="HTML1_11" hidden="1">1</definedName>
    <definedName name="HTML1_12" hidden="1">"C:\working\96rt001.htm"</definedName>
    <definedName name="HTML1_2" hidden="1">1</definedName>
    <definedName name="HTML1_3" hidden="1">"96RT001"</definedName>
    <definedName name="HTML1_4" hidden="1">"96RT001"</definedName>
    <definedName name="HTML1_5" hidden="1">""</definedName>
    <definedName name="HTML1_6" hidden="1">-4146</definedName>
    <definedName name="HTML1_7" hidden="1">-4146</definedName>
    <definedName name="HTML1_8" hidden="1">"8/4/97"</definedName>
    <definedName name="HTML1_9" hidden="1">"Caltrans, Traffic Ops"</definedName>
    <definedName name="HTMLCount" hidden="1">1</definedName>
    <definedName name="I">#N/A</definedName>
    <definedName name="ID">#N/A</definedName>
    <definedName name="J">#N/A</definedName>
    <definedName name="K">#N/A</definedName>
    <definedName name="kjh">'[14]MAY '!$E$17</definedName>
    <definedName name="L">#N/A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M">#N/A</definedName>
    <definedName name="MBAT">#REF!</definedName>
    <definedName name="MBT">'[8]Budget Pivot'!#REF!</definedName>
    <definedName name="mm" hidden="1">{"'Sheet1'!$A$1738:$L$2139"}</definedName>
    <definedName name="MONDEC">'[21]Average Daily Ridership - old'!#REF!</definedName>
    <definedName name="MONFEB">'[21]Average Daily Ridership - old'!#REF!</definedName>
    <definedName name="MONJAN">'[21]Average Daily Ridership - old'!#REF!</definedName>
    <definedName name="MONNOV">'[21]Average Daily Ridership - old'!#REF!</definedName>
    <definedName name="MONTHS">#REF!</definedName>
    <definedName name="N">#N/A</definedName>
    <definedName name="newbie">'[18]Agency Survey Results'!newbie</definedName>
    <definedName name="NewName">'[22]sqmile~1'!$A$1:$B$149</definedName>
    <definedName name="none">'[18]Agency Survey Results'!none</definedName>
    <definedName name="northern_cheyenne">#REF!</definedName>
    <definedName name="O">#N/A</definedName>
    <definedName name="P">#N/A</definedName>
    <definedName name="PAGE1">#REF!</definedName>
    <definedName name="Phase">'[23]2018  Cycle 3'!#REF!</definedName>
    <definedName name="pivot">'[18]Agency Survey Results'!pivot</definedName>
    <definedName name="_xlnm.Print_Area">#REF!</definedName>
    <definedName name="_xlnm.Print_Titles">[24]Revenue!$A$1:$B$65536,[24]Revenue!$A$43:$IV$43</definedName>
    <definedName name="Q">#N/A</definedName>
    <definedName name="qww" hidden="1">{"'Sheet1'!$A$1738:$L$2139"}</definedName>
    <definedName name="Res_High">'[25]95 Socio'!#REF!</definedName>
    <definedName name="Res_Low">'[25]95 Socio'!#REF!</definedName>
    <definedName name="Res_Med">'[25]95 Socio'!#REF!</definedName>
    <definedName name="Residential_Occupied_Units">'[25]95 Socio'!#REF!</definedName>
    <definedName name="revised">'[18]Agency Survey Results'!revised</definedName>
    <definedName name="Routes">[20]Reference!$A:$A</definedName>
    <definedName name="rrr" hidden="1">{"'Sheet1'!$A$1738:$L$2139"}</definedName>
    <definedName name="s">#N/A</definedName>
    <definedName name="Saturdays">'[26]RT 21'!#REF!</definedName>
    <definedName name="sd">'[14]MAY '!$E$18</definedName>
    <definedName name="sdf">'[27]sqmile~1'!$A$1:$B$149</definedName>
    <definedName name="sdfsdf" hidden="1">{#N/A,#N/A,TRUE,"2 South";#N/A,#N/A,TRUE,"2 North";#N/A,#N/A,TRUE,"4 East";#N/A,#N/A,TRUE,"4 West"}</definedName>
    <definedName name="ServiceType">#REF!</definedName>
    <definedName name="sss" hidden="1">{"'Sheet1'!$A$1738:$L$2139"}</definedName>
    <definedName name="T">#N/A</definedName>
    <definedName name="T_Test">#REF!</definedName>
    <definedName name="TABLE1">#N/A</definedName>
    <definedName name="Table10">#REF!</definedName>
    <definedName name="talk">'[18]Agency Survey Results'!talk</definedName>
    <definedName name="test" hidden="1">{"'Sheet1'!$A$1738:$L$2139"}</definedName>
    <definedName name="test2">#REF!</definedName>
    <definedName name="TitleRegion1.f2.m3.6">[28]!Table1[[#Headers],[VOMS]]</definedName>
    <definedName name="TitleRegion2.e6.m15.6">[28]!Table2[[#Headers],[click to graph]]</definedName>
    <definedName name="TitleRegion3.c21.m53.6">[28]!Table3[[#Headers],[Description]]</definedName>
    <definedName name="TitleRegion4.e56.m67.6">[28]!Table4[[#Headers],[click to graph]]</definedName>
    <definedName name="TitleRegion5.d71.m127.6">[28]!Table5[[#Headers],[State]]</definedName>
    <definedName name="ttt" hidden="1">{"'Sheet1'!$A$1738:$L$2139"}</definedName>
    <definedName name="U">#N/A</definedName>
    <definedName name="uuu" hidden="1">{"'Sheet1'!$A$1738:$L$2139"}</definedName>
    <definedName name="V">#N/A</definedName>
    <definedName name="Vehicles">[20]Reference!$E:$E</definedName>
    <definedName name="vital5">[19]Sheet1!$E$15</definedName>
    <definedName name="W">#N/A</definedName>
    <definedName name="WEEKDAY">'[26]RT 21'!#REF!</definedName>
    <definedName name="Weekdays">'[29]Days Schedule'!$A$1:$G$2</definedName>
    <definedName name="whatever">#REF!</definedName>
    <definedName name="Work_Type">[20]Reference!$C:$C</definedName>
    <definedName name="wrn.2000._.Service." hidden="1">{"2000 Total Service",#N/A,TRUE,"SERVICE 2000";"2000 SM/TC Service",#N/A,TRUE,"SERVICE 2000";"2000 BM Service",#N/A,TRUE,"SERVICE 2000";"2000 HL Service",#N/A,TRUE,"SERVICE 2000"}</definedName>
    <definedName name="wrn.2001._.Service." hidden="1">{"2001 Total Service",#N/A,TRUE,"SERVICE 2001";"2001 SM/TC Service",#N/A,TRUE,"SERVICE 2001";"2001 BM Service",#N/A,TRUE,"SERVICE 2001";"2001 HL Service",#N/A,TRUE,"SERVICE 2001"}</definedName>
    <definedName name="wrn.2002._.Service." hidden="1">{"2002 Total Service",#N/A,FALSE,"SERVICE 2002";"2002 SM/TC Service",#N/A,FALSE,"SERVICE 2002";"2002 BM Service",#N/A,FALSE,"SERVICE 2002";"2002 HL Service",#N/A,FALSE,"SERVICE 2002"}</definedName>
    <definedName name="wrn.Annual." hidden="1">{#N/A,#N/A,TRUE,"Graphs";#N/A,#N/A,TRUE,"TOTAL";#N/A,#N/A,TRUE,"Routes";#N/A,#N/A,TRUE,"DARS";#N/A,#N/A,TRUE,"Rt.1";#N/A,#N/A,TRUE,"Rt.2";#N/A,#N/A,TRUE,"Rte 3";#N/A,#N/A,TRUE,"Rte4";#N/A,#N/A,TRUE,"Rte4A";#N/A,#N/A,TRUE,"Rte5";#N/A,#N/A,TRUE,"Rte6";#N/A,#N/A,TRUE,"Rte7";#N/A,#N/A,TRUE,"Clk DAR";#N/A,#N/A,TRUE,"Lkpt DAR";#N/A,#N/A,TRUE,"RCRC"}</definedName>
    <definedName name="wrn.ASC._.Contract." hidden="1">{"Exhibit A",#N/A,FALSE,"Exhibit A";"Exhibit B",#N/A,FALSE,"Exhibit B-1";"Exhibit B-2",#N/A,FALSE,"Exhibit B-2";"Exhibit B-3",#N/A,FALSE,"Exhibit B-3";"Exhibit B-4",#N/A,FALSE,"Exhibit B-4";"Exhibit C-1",#N/A,FALSE,"Exhibit C-1";"Exhibit C-2",#N/A,FALSE,"Exhibit C-2";"Exhibit C-3",#N/A,FALSE,"Exhibit C-3";"Exhibit C-4",#N/A,FALSE,"Exhibit C-4";"Exhibit C-5",#N/A,FALSE,"Exhibit C-5";"Exhibit D-1",#N/A,FALSE,"Exhibit D-1";"Exhibit E",#N/A,FALSE,"Exhibit E"}</definedName>
    <definedName name="wrn.ASC._.Service." hidden="1">{"ASC Total Service",#N/A,FALSE,"ASC SERVICE";"ASC SM/TC Service",#N/A,FALSE,"ASC SERVICE";"ASC BM Service",#N/A,FALSE,"ASC SERVICE";"ASC HL Service",#N/A,FALSE,"ASC SERVICE"}</definedName>
    <definedName name="wrn.Budget." hidden="1">{#N/A,#N/A,FALSE,"0304";#N/A,#N/A,FALSE,"8-13-03 Revision(proposed)";#N/A,#N/A,FALSE,"8-13-03 Revision Plus Loan"}</definedName>
    <definedName name="wrn.CAPREIT." hidden="1">{#N/A,#N/A,FALSE,"CAPREIT"}</definedName>
    <definedName name="wrn.CAPREIT2" hidden="1">{#N/A,#N/A,FALSE,"CAPREIT"}</definedName>
    <definedName name="wrn.FIXED._.ASSETS." hidden="1">{"CONTRACT OBLIGATIONS",#N/A,FALSE,"list for contract obligations";"ROLLING STOCK",#N/A,FALSE,"rolling stock";"LESS THAN 5000",#N/A,FALSE,"less than 5000";"REMOVED",#N/A,FALSE,"to be or already removed "}</definedName>
    <definedName name="wrn.GW._.EXHIBITS." hidden="1">{#N/A,#N/A,FALSE,"Exhibit C-1";#N/A,#N/A,FALSE,"Exhibit C-2";#N/A,#N/A,FALSE,"Exhibit C-3";#N/A,#N/A,FALSE,"Exhibit D";#N/A,#N/A,FALSE,"Exhibit E";#N/A,#N/A,FALSE,"Exhibit F"}</definedName>
    <definedName name="wrn.INFO._.FR._.1." hidden="1">{#N/A,#N/A,TRUE,"2 South";#N/A,#N/A,TRUE,"2 North";#N/A,#N/A,TRUE,"4 East";#N/A,#N/A,TRUE,"4 West"}</definedName>
    <definedName name="wrn.Nov_Dec._.Service._.02." hidden="1">{"Nov-Dec 02 Total",#N/A,FALSE,"NOV_DEC Service 02";"Nov-Dec 02 SMTC",#N/A,FALSE,"NOV_DEC Service 02";"Nov-Dec 02 BM",#N/A,FALSE,"NOV_DEC Service 02";"Nov-Dec 02 HL",#N/A,FALSE,"NOV_DEC Service 02"}</definedName>
    <definedName name="wrn.Quarterly." hidden="1">{#N/A,#N/A,TRUE,"Graphs2";#N/A,#N/A,TRUE,"Graphs";#N/A,#N/A,TRUE,"TOTAL";#N/A,#N/A,TRUE,"Routes";#N/A,#N/A,TRUE,"DARS";#N/A,#N/A,TRUE,"Rt.1";#N/A,#N/A,TRUE,"Rt.2";#N/A,#N/A,TRUE,"Rte 3";#N/A,#N/A,TRUE,"Rte4";#N/A,#N/A,TRUE,"Rte5";#N/A,#N/A,TRUE,"Rte6";#N/A,#N/A,TRUE,"Lkpt DAR";#N/A,#N/A,TRUE,"Clk DAR";#N/A,#N/A,TRUE,"RCRC";#N/A,#N/A,TRUE,"Special"}</definedName>
    <definedName name="wrn.Route._.1._.Stops." hidden="1">{#N/A,#N/A,FALSE,"1 East";#N/A,#N/A,FALSE,"1 West"}</definedName>
    <definedName name="wrn.Salestax._.report." hidden="1">{"RFTA Actuals",#N/A,TRUE,"monthly summary";"RFTA Budget",#N/A,TRUE,"monthly summary";"Pitco",#N/A,TRUE,"monthly summary"}</definedName>
    <definedName name="wrn.Weekly2000." hidden="1">{"cum2000",#N/A,FALSE,"-SERVICE 2000";"smtc2000",#N/A,FALSE,"-SERVICE 2000"}</definedName>
    <definedName name="X">#N/A</definedName>
    <definedName name="xcvsdvsdfg" hidden="1">{"'Sheet1'!$A$1738:$L$2139"}</definedName>
    <definedName name="xxx" hidden="1">{"'Sheet1'!$A$1738:$L$2139"}</definedName>
    <definedName name="Y">#N/A</definedName>
    <definedName name="yyy" hidden="1">{"'Sheet1'!$A$1738:$L$2139"}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W31" i="2" l="1"/>
  <c r="W36" i="2"/>
  <c r="J20" i="2" s="1"/>
  <c r="K20" i="2" s="1"/>
  <c r="W35" i="2"/>
  <c r="J23" i="2" s="1"/>
  <c r="K23" i="2" s="1"/>
  <c r="W34" i="2"/>
  <c r="W33" i="2"/>
  <c r="W32" i="2"/>
  <c r="H24" i="3"/>
  <c r="H8" i="1"/>
  <c r="I8" i="1" s="1"/>
  <c r="P42" i="2"/>
  <c r="D33" i="3"/>
  <c r="D32" i="3"/>
  <c r="D31" i="3"/>
  <c r="C16" i="3" s="1"/>
  <c r="D30" i="3"/>
  <c r="D29" i="3"/>
  <c r="C9" i="3" s="1"/>
  <c r="D28" i="3"/>
  <c r="D27" i="3"/>
  <c r="J21" i="3"/>
  <c r="J20" i="3"/>
  <c r="C20" i="3"/>
  <c r="J19" i="3"/>
  <c r="J18" i="3"/>
  <c r="X15" i="3"/>
  <c r="Y15" i="3" s="1"/>
  <c r="C15" i="3"/>
  <c r="C14" i="3"/>
  <c r="C10" i="3"/>
  <c r="H9" i="3"/>
  <c r="J8" i="3"/>
  <c r="E8" i="3"/>
  <c r="D8" i="3"/>
  <c r="I16" i="2"/>
  <c r="H16" i="2"/>
  <c r="G16" i="2"/>
  <c r="H11" i="1"/>
  <c r="I11" i="1" s="1"/>
  <c r="H10" i="1"/>
  <c r="I10" i="1" s="1"/>
  <c r="H13" i="1"/>
  <c r="I13" i="1" s="1"/>
  <c r="J9" i="2" l="1"/>
  <c r="K9" i="2" s="1"/>
  <c r="J10" i="2"/>
  <c r="K10" i="2" s="1"/>
  <c r="J11" i="2"/>
  <c r="K11" i="2" s="1"/>
  <c r="J5" i="2"/>
  <c r="K5" i="2" s="1"/>
  <c r="J8" i="2"/>
  <c r="K8" i="2" s="1"/>
  <c r="J4" i="2"/>
  <c r="J6" i="2"/>
  <c r="K6" i="2" s="1"/>
  <c r="J22" i="2"/>
  <c r="K22" i="2" s="1"/>
  <c r="J24" i="2"/>
  <c r="K24" i="2" s="1"/>
  <c r="J21" i="2"/>
  <c r="K21" i="2" s="1"/>
  <c r="J13" i="2"/>
  <c r="K13" i="2" s="1"/>
  <c r="J14" i="2"/>
  <c r="K14" i="2" s="1"/>
  <c r="J15" i="2"/>
  <c r="K15" i="2" s="1"/>
  <c r="J16" i="2"/>
  <c r="K16" i="2" s="1"/>
  <c r="J17" i="2"/>
  <c r="K17" i="2" s="1"/>
  <c r="J18" i="2"/>
  <c r="K18" i="2" s="1"/>
  <c r="J19" i="2"/>
  <c r="K19" i="2" s="1"/>
  <c r="J7" i="2"/>
  <c r="K7" i="2" s="1"/>
  <c r="J12" i="2"/>
  <c r="K12" i="2" s="1"/>
  <c r="K4" i="2"/>
  <c r="C8" i="3"/>
  <c r="C7" i="3"/>
  <c r="J20" i="1"/>
  <c r="J28" i="1" s="1"/>
  <c r="K25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tc={E9195678-AAB1-4177-BF3D-8F3B2A8385E7}</author>
    <author>tc={EC60E938-EB66-458D-B5DB-EE15ABF9C1A0}</author>
    <author>tc={2F465FF9-7893-4503-9EE0-B06950C46560}</author>
    <author>tc={9EC66C54-B0A1-422B-B57E-678DBB282E8F}</author>
    <author>tc={4866CEA9-54C1-49FF-AD6D-924AD480DE2B}</author>
    <author>tc={0F079C5B-E76F-4A7E-8BE9-E9EDF54F57C7}</author>
    <author>tc={C2AC24F8-DF8A-4D92-A285-9E3564DB45BB}</author>
  </authors>
  <commentList>
    <comment ref="F9" authorId="0" shapeId="0" xr:uid="{E9195678-AAB1-4177-BF3D-8F3B2A8385E7}">
      <text>
        <t>[Threaded comment]
Your version of Excel allows you to read this threaded comment; however, any edits to it will get removed if the file is opened in a newer version of Excel. Learn more: https://go.microsoft.com/fwlink/?linkid=870924
Comment:
    Vehicle turnover fixed - do not escalate</t>
      </text>
    </comment>
    <comment ref="G9" authorId="1" shapeId="0" xr:uid="{EC60E938-EB66-458D-B5DB-EE15ABF9C1A0}">
      <text>
        <t>[Threaded comment]
Your version of Excel allows you to read this threaded comment; however, any edits to it will get removed if the file is opened in a newer version of Excel. Learn more: https://go.microsoft.com/fwlink/?linkid=870924
Comment:
    Vehicle parking. Escalate by 3% / year</t>
      </text>
    </comment>
    <comment ref="J9" authorId="2" shapeId="0" xr:uid="{2F465FF9-7893-4503-9EE0-B06950C46560}">
      <text>
        <t>[Threaded comment]
Your version of Excel allows you to read this threaded comment; however, any edits to it will get removed if the file is opened in a newer version of Excel. Learn more: https://go.microsoft.com/fwlink/?linkid=870924
Comment:
    Variable plus fixed/vsh</t>
      </text>
    </comment>
    <comment ref="J14" authorId="3" shapeId="0" xr:uid="{9EC66C54-B0A1-422B-B57E-678DBB282E8F}">
      <text>
        <t>[Threaded comment]
Your version of Excel allows you to read this threaded comment; however, any edits to it will get removed if the file is opened in a newer version of Excel. Learn more: https://go.microsoft.com/fwlink/?linkid=870924
Comment:
    Total op cost/VSH calculated in EC memo plus inflation</t>
      </text>
    </comment>
    <comment ref="D15" authorId="4" shapeId="0" xr:uid="{4866CEA9-54C1-49FF-AD6D-924AD480DE2B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Contract max for variable costs for YR3 divided by 24-25 VSH
Reply:
    Contract max: $1,480,267. Doesn’t add up to actuals of $4 million +….</t>
      </text>
    </comment>
    <comment ref="F15" authorId="5" shapeId="0" xr:uid="{0F079C5B-E76F-4A7E-8BE9-E9EDF54F57C7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Contract max specified in contract</t>
      </text>
    </comment>
    <comment ref="J15" authorId="6" shapeId="0" xr:uid="{C2AC24F8-DF8A-4D92-A285-9E3564DB45BB}">
      <text>
        <t>[Threaded comment]
Your version of Excel allows you to read this threaded comment; however, any edits to it will get removed if the file is opened in a newer version of Excel. Learn more: https://go.microsoft.com/fwlink/?linkid=870924
Comment:
    Actuals for 24/25 plus inflation</t>
      </text>
    </comment>
  </commentList>
</comments>
</file>

<file path=xl/sharedStrings.xml><?xml version="1.0" encoding="utf-8"?>
<sst xmlns="http://schemas.openxmlformats.org/spreadsheetml/2006/main" count="230" uniqueCount="122">
  <si>
    <t>Service Element</t>
  </si>
  <si>
    <t>Annual Vehicle Hours</t>
  </si>
  <si>
    <t>Operator</t>
  </si>
  <si>
    <t>Marginal Operating Cost per Vehicle Hour</t>
  </si>
  <si>
    <t>Annual Operating Cost</t>
  </si>
  <si>
    <t>Route 50</t>
  </si>
  <si>
    <t>Lake Link</t>
  </si>
  <si>
    <t>East Shore Express</t>
  </si>
  <si>
    <t>Etc</t>
  </si>
  <si>
    <t>TTD</t>
  </si>
  <si>
    <t>VIA</t>
  </si>
  <si>
    <t>Placer County</t>
  </si>
  <si>
    <t>Annual Fixed Costs</t>
  </si>
  <si>
    <t>Marginal Operating Cost per Vehicle Hour Lookup Table</t>
  </si>
  <si>
    <t>Total Tahoe-Wide Annual Transit Operating/Administrative Costs</t>
  </si>
  <si>
    <t>Blue = User Inputs</t>
  </si>
  <si>
    <t>Tahoe Regional Transit Operating Cost Scenario Worksheet</t>
  </si>
  <si>
    <t>Total Annual Costs</t>
  </si>
  <si>
    <t>Total Marginal Operating Costs</t>
  </si>
  <si>
    <t>Green = Placeholder Values</t>
  </si>
  <si>
    <t>Total Tahoe-Wide Operating Revenue</t>
  </si>
  <si>
    <t>SR 89</t>
  </si>
  <si>
    <t xml:space="preserve">SR 267 </t>
  </si>
  <si>
    <t>Mainline</t>
  </si>
  <si>
    <t>TTD Paratransit</t>
  </si>
  <si>
    <t>Service/Route</t>
  </si>
  <si>
    <t>Agency</t>
  </si>
  <si>
    <t>Passenger-Trips</t>
  </si>
  <si>
    <t>Vehicle Service Hours</t>
  </si>
  <si>
    <t>Vehicle Service Miles</t>
  </si>
  <si>
    <t>Data Year</t>
  </si>
  <si>
    <t>19X</t>
  </si>
  <si>
    <t>24-25</t>
  </si>
  <si>
    <t>Via</t>
  </si>
  <si>
    <t>26-27</t>
  </si>
  <si>
    <t>estimate</t>
  </si>
  <si>
    <t>ADA Para</t>
  </si>
  <si>
    <t>SSTMA</t>
  </si>
  <si>
    <t>25-26</t>
  </si>
  <si>
    <t>VSH are from contract not actual</t>
  </si>
  <si>
    <t>West Shore</t>
  </si>
  <si>
    <t>TART</t>
  </si>
  <si>
    <t>N Shore</t>
  </si>
  <si>
    <t>Nevada</t>
  </si>
  <si>
    <t>Main Line</t>
  </si>
  <si>
    <t>Night</t>
  </si>
  <si>
    <t>Truckee</t>
  </si>
  <si>
    <t>Downtowner</t>
  </si>
  <si>
    <t>Park&amp;Ride (Winter)</t>
  </si>
  <si>
    <t>TNTTMA</t>
  </si>
  <si>
    <t>MRTW</t>
  </si>
  <si>
    <t>Estimate</t>
  </si>
  <si>
    <t>Park&amp;Ride (Summ)</t>
  </si>
  <si>
    <t>NLTE</t>
  </si>
  <si>
    <t>Estimate based on budget costs for 25-26</t>
  </si>
  <si>
    <t>Cost per VSH</t>
  </si>
  <si>
    <t>Operating Cost Rates</t>
  </si>
  <si>
    <t>FY 26-27</t>
  </si>
  <si>
    <t>South Shore</t>
  </si>
  <si>
    <t>Form</t>
  </si>
  <si>
    <t>Per VSH</t>
  </si>
  <si>
    <t>Per VSM</t>
  </si>
  <si>
    <t>Fixed</t>
  </si>
  <si>
    <t>Tot. Op Cost/VSH</t>
  </si>
  <si>
    <t>NOTES</t>
  </si>
  <si>
    <t>TTD Fixed Route Bus</t>
  </si>
  <si>
    <t>Based on 24/25 actuals plus 4% inflation/yr</t>
  </si>
  <si>
    <t>SSTMA Lake Link contract costs for 2027. Plus Fixed Admin costs</t>
  </si>
  <si>
    <t>Route 30</t>
  </si>
  <si>
    <t>North Shore</t>
  </si>
  <si>
    <t>TART Fixed Route</t>
  </si>
  <si>
    <t>Based on 24-25 actuals cost model from Existing Conditions report (+4% inflation/yr)</t>
  </si>
  <si>
    <t>26-27*</t>
  </si>
  <si>
    <t>TART Connect</t>
  </si>
  <si>
    <t>Based on 24-25 actuals cost model from Existing Conditions report (+5% inflation/yr to reflect contract-specified escation rates)</t>
  </si>
  <si>
    <t>Placer TART Paratransit</t>
  </si>
  <si>
    <t>My Ride to Work</t>
  </si>
  <si>
    <t>Bus(TART)</t>
  </si>
  <si>
    <t>Based on contract cost from TART/MRTW FY 24-25 (+3% inflation/yr)</t>
  </si>
  <si>
    <t>Van(TART)</t>
  </si>
  <si>
    <t>Shuttle (P&amp;R)</t>
  </si>
  <si>
    <t>Based on Park and Ride contract cost from TNTTMA/MRTW FY 25-26 (+3% inflation/yr)</t>
  </si>
  <si>
    <t>Van(P&amp;R)</t>
  </si>
  <si>
    <t>Agency/Operator Combinations</t>
  </si>
  <si>
    <t xml:space="preserve"> </t>
  </si>
  <si>
    <t>Marginal Op Cost per VSH</t>
  </si>
  <si>
    <t>TTD Total Marginal Operating Cost FY 2024-25</t>
  </si>
  <si>
    <t>FY 2024-25</t>
  </si>
  <si>
    <t>FY 2026-27</t>
  </si>
  <si>
    <t>Total VSH</t>
  </si>
  <si>
    <t xml:space="preserve">Green = </t>
  </si>
  <si>
    <t xml:space="preserve">Blue = </t>
  </si>
  <si>
    <t>User Inputs</t>
  </si>
  <si>
    <t>Placer Via</t>
  </si>
  <si>
    <t>Total</t>
  </si>
  <si>
    <t>Cost Data</t>
  </si>
  <si>
    <t>Total  Operating Costs</t>
  </si>
  <si>
    <t xml:space="preserve"> Operating Cost per Vehicle Hour Lookup Table</t>
  </si>
  <si>
    <t>Questions</t>
  </si>
  <si>
    <t>Could separate out fixed costs but this is harder to do for private contractors. When making large changes, fixed costs will change, particularly for private contractors</t>
  </si>
  <si>
    <t>Using Bus costs</t>
  </si>
  <si>
    <t>Placer TART Connect</t>
  </si>
  <si>
    <t>Nevada Route</t>
  </si>
  <si>
    <t>Nevada Seasonal Route</t>
  </si>
  <si>
    <t>California Seasonal Route</t>
  </si>
  <si>
    <t>California Route (portion in NV)</t>
  </si>
  <si>
    <t>California Route</t>
  </si>
  <si>
    <t>CA/NV</t>
  </si>
  <si>
    <t>Califorrnia route</t>
  </si>
  <si>
    <t>California route</t>
  </si>
  <si>
    <t>Nevada route</t>
  </si>
  <si>
    <t>State Route Conditions</t>
  </si>
  <si>
    <t>Local Route Conditions</t>
  </si>
  <si>
    <t>Carson City, Douglas County</t>
  </si>
  <si>
    <t>Douglas County</t>
  </si>
  <si>
    <t>Washoe County</t>
  </si>
  <si>
    <t>El Dorado County</t>
  </si>
  <si>
    <t>CSLT, El Dorado County, Douglas County</t>
  </si>
  <si>
    <t>CSLT, El Dorado County</t>
  </si>
  <si>
    <t>Zone 1 (Douglas County), Zone 2 (CSLT), Zone 3 (CSLT)</t>
  </si>
  <si>
    <t>Placer County, Nevada County</t>
  </si>
  <si>
    <t>Placer County, Nevada County, Washoe County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</si>
</sst>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5" formatCode="&quot;$&quot;#,##0_);\(&quot;$&quot;#,##0\)"/>
    <numFmt numFmtId="44" formatCode="_(&quot;$&quot;* #,##0.00_);_(&quot;$&quot;* \(#,##0.00\);_(&quot;$&quot;* &quot;-&quot;??_);_(@_)"/>
    <numFmt numFmtId="164" formatCode="&quot;$&quot;#,##0.00"/>
    <numFmt numFmtId="165" formatCode="&quot;$&quot;#,##0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70C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1"/>
      <color theme="9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11"/>
      <color rgb="FF00B0F0"/>
      <name val="Aptos Narrow"/>
      <family val="2"/>
      <scheme val="minor"/>
    </font>
    <font>
      <sz val="11"/>
      <color rgb="FF00B05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2">
    <xf numFmtId="0" fontId="0" fillId="0" borderId="0" xfId="0"/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1" xfId="0" applyBorder="1"/>
    <xf numFmtId="165" fontId="0" fillId="0" borderId="0" xfId="0" applyNumberFormat="1"/>
    <xf numFmtId="165" fontId="0" fillId="0" borderId="0" xfId="0" applyNumberFormat="1" applyAlignment="1">
      <alignment horizontal="center"/>
    </xf>
    <xf numFmtId="44" fontId="5" fillId="0" borderId="2" xfId="1" applyFont="1" applyBorder="1"/>
    <xf numFmtId="44" fontId="5" fillId="0" borderId="4" xfId="1" applyFont="1" applyBorder="1"/>
    <xf numFmtId="44" fontId="5" fillId="0" borderId="6" xfId="1" applyFont="1" applyBorder="1"/>
    <xf numFmtId="0" fontId="4" fillId="0" borderId="1" xfId="0" applyFont="1" applyBorder="1"/>
    <xf numFmtId="0" fontId="0" fillId="0" borderId="9" xfId="0" applyBorder="1"/>
    <xf numFmtId="0" fontId="0" fillId="0" borderId="2" xfId="0" applyBorder="1"/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165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164" fontId="5" fillId="0" borderId="0" xfId="1" applyNumberFormat="1" applyFont="1" applyBorder="1" applyAlignment="1">
      <alignment horizontal="center"/>
    </xf>
    <xf numFmtId="165" fontId="0" fillId="0" borderId="4" xfId="0" applyNumberFormat="1" applyBorder="1" applyAlignment="1">
      <alignment horizontal="center"/>
    </xf>
    <xf numFmtId="0" fontId="3" fillId="0" borderId="3" xfId="0" applyFont="1" applyBorder="1"/>
    <xf numFmtId="0" fontId="0" fillId="0" borderId="10" xfId="0" applyBorder="1"/>
    <xf numFmtId="0" fontId="0" fillId="0" borderId="10" xfId="0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165" fontId="0" fillId="0" borderId="6" xfId="0" applyNumberFormat="1" applyBorder="1" applyAlignment="1">
      <alignment horizontal="center"/>
    </xf>
    <xf numFmtId="0" fontId="5" fillId="0" borderId="3" xfId="0" applyFont="1" applyBorder="1"/>
    <xf numFmtId="0" fontId="2" fillId="0" borderId="3" xfId="0" applyFont="1" applyBorder="1"/>
    <xf numFmtId="0" fontId="0" fillId="2" borderId="0" xfId="0" applyFill="1"/>
    <xf numFmtId="3" fontId="2" fillId="0" borderId="0" xfId="0" applyNumberFormat="1" applyFont="1" applyAlignment="1">
      <alignment horizontal="center"/>
    </xf>
    <xf numFmtId="0" fontId="6" fillId="0" borderId="0" xfId="0" applyFont="1" applyAlignment="1">
      <alignment wrapText="1"/>
    </xf>
    <xf numFmtId="0" fontId="6" fillId="0" borderId="0" xfId="0" applyFont="1"/>
    <xf numFmtId="0" fontId="0" fillId="0" borderId="0" xfId="0" applyAlignment="1">
      <alignment horizontal="right"/>
    </xf>
    <xf numFmtId="0" fontId="0" fillId="4" borderId="0" xfId="0" applyFill="1" applyAlignment="1">
      <alignment horizontal="right"/>
    </xf>
    <xf numFmtId="0" fontId="0" fillId="4" borderId="0" xfId="0" applyFill="1"/>
    <xf numFmtId="3" fontId="0" fillId="3" borderId="0" xfId="0" applyNumberFormat="1" applyFill="1" applyAlignment="1">
      <alignment horizontal="right"/>
    </xf>
    <xf numFmtId="3" fontId="0" fillId="0" borderId="0" xfId="0" applyNumberFormat="1"/>
    <xf numFmtId="3" fontId="0" fillId="0" borderId="0" xfId="0" applyNumberFormat="1" applyAlignment="1">
      <alignment horizontal="right"/>
    </xf>
    <xf numFmtId="44" fontId="0" fillId="0" borderId="0" xfId="0" applyNumberFormat="1"/>
    <xf numFmtId="0" fontId="7" fillId="0" borderId="0" xfId="0" applyFont="1"/>
    <xf numFmtId="0" fontId="0" fillId="0" borderId="11" xfId="0" applyBorder="1"/>
    <xf numFmtId="0" fontId="0" fillId="0" borderId="11" xfId="0" applyBorder="1" applyAlignment="1">
      <alignment horizontal="center"/>
    </xf>
    <xf numFmtId="164" fontId="0" fillId="3" borderId="0" xfId="1" applyNumberFormat="1" applyFont="1" applyFill="1"/>
    <xf numFmtId="164" fontId="0" fillId="3" borderId="0" xfId="0" applyNumberFormat="1" applyFill="1"/>
    <xf numFmtId="165" fontId="0" fillId="3" borderId="0" xfId="0" applyNumberFormat="1" applyFill="1"/>
    <xf numFmtId="164" fontId="0" fillId="0" borderId="0" xfId="0" applyNumberFormat="1"/>
    <xf numFmtId="0" fontId="0" fillId="3" borderId="0" xfId="0" applyFill="1"/>
    <xf numFmtId="0" fontId="8" fillId="0" borderId="0" xfId="0" applyFont="1" applyAlignment="1">
      <alignment horizontal="right"/>
    </xf>
    <xf numFmtId="0" fontId="8" fillId="0" borderId="0" xfId="0" applyFont="1"/>
    <xf numFmtId="0" fontId="9" fillId="0" borderId="0" xfId="0" applyFont="1" applyAlignment="1">
      <alignment horizontal="right"/>
    </xf>
    <xf numFmtId="0" fontId="9" fillId="0" borderId="0" xfId="0" applyFont="1"/>
    <xf numFmtId="0" fontId="0" fillId="3" borderId="0" xfId="0" applyFill="1" applyAlignment="1">
      <alignment horizontal="right"/>
    </xf>
    <xf numFmtId="164" fontId="9" fillId="0" borderId="0" xfId="0" applyNumberFormat="1" applyFont="1" applyAlignment="1">
      <alignment horizontal="right"/>
    </xf>
    <xf numFmtId="164" fontId="9" fillId="0" borderId="0" xfId="0" applyNumberFormat="1" applyFont="1" applyAlignment="1">
      <alignment horizontal="center"/>
    </xf>
    <xf numFmtId="3" fontId="0" fillId="3" borderId="12" xfId="0" applyNumberFormat="1" applyFill="1" applyBorder="1"/>
    <xf numFmtId="3" fontId="0" fillId="4" borderId="12" xfId="0" applyNumberFormat="1" applyFill="1" applyBorder="1"/>
    <xf numFmtId="3" fontId="0" fillId="3" borderId="12" xfId="0" applyNumberFormat="1" applyFill="1" applyBorder="1" applyAlignment="1">
      <alignment horizontal="right"/>
    </xf>
    <xf numFmtId="3" fontId="0" fillId="0" borderId="0" xfId="0" applyNumberFormat="1" applyAlignment="1">
      <alignment horizontal="center"/>
    </xf>
    <xf numFmtId="0" fontId="6" fillId="0" borderId="0" xfId="0" applyFont="1" applyAlignment="1">
      <alignment horizontal="center" wrapText="1"/>
    </xf>
    <xf numFmtId="0" fontId="6" fillId="0" borderId="0" xfId="0" applyFont="1" applyAlignment="1">
      <alignment horizontal="center"/>
    </xf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5" fontId="0" fillId="0" borderId="0" xfId="1" applyNumberFormat="1" applyFont="1" applyBorder="1"/>
    <xf numFmtId="0" fontId="0" fillId="0" borderId="17" xfId="0" applyBorder="1"/>
    <xf numFmtId="0" fontId="0" fillId="0" borderId="18" xfId="0" applyBorder="1"/>
    <xf numFmtId="3" fontId="0" fillId="0" borderId="11" xfId="0" applyNumberFormat="1" applyBorder="1"/>
    <xf numFmtId="0" fontId="0" fillId="0" borderId="19" xfId="0" applyBorder="1"/>
    <xf numFmtId="0" fontId="9" fillId="3" borderId="0" xfId="0" applyFont="1" applyFill="1"/>
    <xf numFmtId="0" fontId="8" fillId="0" borderId="0" xfId="0" applyFont="1" applyAlignment="1">
      <alignment horizontal="center"/>
    </xf>
    <xf numFmtId="3" fontId="8" fillId="0" borderId="0" xfId="0" applyNumberFormat="1" applyFont="1" applyAlignment="1">
      <alignment horizontal="center"/>
    </xf>
    <xf numFmtId="165" fontId="6" fillId="0" borderId="0" xfId="0" applyNumberFormat="1" applyFont="1"/>
    <xf numFmtId="165" fontId="6" fillId="0" borderId="0" xfId="0" applyNumberFormat="1" applyFont="1" applyAlignment="1">
      <alignment horizontal="right"/>
    </xf>
    <xf numFmtId="0" fontId="0" fillId="0" borderId="7" xfId="0" applyBorder="1" applyAlignment="1">
      <alignment horizontal="center" wrapText="1"/>
    </xf>
    <xf numFmtId="0" fontId="0" fillId="0" borderId="8" xfId="0" applyBorder="1" applyAlignment="1">
      <alignment horizontal="center" wrapText="1"/>
    </xf>
    <xf numFmtId="0" fontId="6" fillId="0" borderId="0" xfId="0" applyFont="1" applyAlignment="1">
      <alignment horizontal="center"/>
    </xf>
    <xf numFmtId="0" fontId="0" fillId="0" borderId="11" xfId="0" applyBorder="1" applyAlignment="1">
      <alignment horizontal="center"/>
    </xf>
    <xf numFmtId="0" fontId="0" fillId="0" borderId="0" xfId="0" applyAlignment="1">
      <alignment horizontal="center" wrapText="1"/>
    </xf>
    <xf numFmtId="0" fontId="0" fillId="0" borderId="11" xfId="0" applyBorder="1" applyAlignment="1">
      <alignment horizontal="center" wrapText="1"/>
    </xf>
    <xf numFmtId="0" fontId="0" fillId="0" borderId="7" xfId="0" applyBorder="1" applyAlignment="1">
      <alignment horizontal="left" wrapText="1"/>
    </xf>
    <xf numFmtId="0" fontId="0" fillId="0" borderId="8" xfId="0" applyBorder="1" applyAlignment="1">
      <alignment horizontal="left" wrapText="1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0.xml"/><Relationship Id="rId18" Type="http://schemas.openxmlformats.org/officeDocument/2006/relationships/externalLink" Target="externalLinks/externalLink15.xml"/><Relationship Id="rId26" Type="http://schemas.openxmlformats.org/officeDocument/2006/relationships/externalLink" Target="externalLinks/externalLink23.xml"/><Relationship Id="rId39" Type="http://schemas.openxmlformats.org/officeDocument/2006/relationships/customXml" Target="../customXml/item1.xml"/><Relationship Id="rId21" Type="http://schemas.openxmlformats.org/officeDocument/2006/relationships/externalLink" Target="externalLinks/externalLink18.xml"/><Relationship Id="rId34" Type="http://schemas.openxmlformats.org/officeDocument/2006/relationships/theme" Target="theme/theme1.xml"/><Relationship Id="rId7" Type="http://schemas.openxmlformats.org/officeDocument/2006/relationships/externalLink" Target="externalLinks/externalLink4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3.xml"/><Relationship Id="rId20" Type="http://schemas.openxmlformats.org/officeDocument/2006/relationships/externalLink" Target="externalLinks/externalLink17.xml"/><Relationship Id="rId29" Type="http://schemas.openxmlformats.org/officeDocument/2006/relationships/externalLink" Target="externalLinks/externalLink26.xml"/><Relationship Id="rId41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externalLink" Target="externalLinks/externalLink8.xml"/><Relationship Id="rId24" Type="http://schemas.openxmlformats.org/officeDocument/2006/relationships/externalLink" Target="externalLinks/externalLink21.xml"/><Relationship Id="rId32" Type="http://schemas.openxmlformats.org/officeDocument/2006/relationships/externalLink" Target="externalLinks/externalLink29.xml"/><Relationship Id="rId37" Type="http://schemas.microsoft.com/office/2017/10/relationships/person" Target="persons/person.xml"/><Relationship Id="rId40" Type="http://schemas.openxmlformats.org/officeDocument/2006/relationships/customXml" Target="../customXml/item2.xml"/><Relationship Id="rId5" Type="http://schemas.openxmlformats.org/officeDocument/2006/relationships/externalLink" Target="externalLinks/externalLink2.xml"/><Relationship Id="rId15" Type="http://schemas.openxmlformats.org/officeDocument/2006/relationships/externalLink" Target="externalLinks/externalLink12.xml"/><Relationship Id="rId23" Type="http://schemas.openxmlformats.org/officeDocument/2006/relationships/externalLink" Target="externalLinks/externalLink20.xml"/><Relationship Id="rId28" Type="http://schemas.openxmlformats.org/officeDocument/2006/relationships/externalLink" Target="externalLinks/externalLink25.xml"/><Relationship Id="rId36" Type="http://schemas.openxmlformats.org/officeDocument/2006/relationships/sharedStrings" Target="sharedStrings.xml"/><Relationship Id="rId10" Type="http://schemas.openxmlformats.org/officeDocument/2006/relationships/externalLink" Target="externalLinks/externalLink7.xml"/><Relationship Id="rId19" Type="http://schemas.openxmlformats.org/officeDocument/2006/relationships/externalLink" Target="externalLinks/externalLink16.xml"/><Relationship Id="rId31" Type="http://schemas.openxmlformats.org/officeDocument/2006/relationships/externalLink" Target="externalLinks/externalLink28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externalLink" Target="externalLinks/externalLink11.xml"/><Relationship Id="rId22" Type="http://schemas.openxmlformats.org/officeDocument/2006/relationships/externalLink" Target="externalLinks/externalLink19.xml"/><Relationship Id="rId27" Type="http://schemas.openxmlformats.org/officeDocument/2006/relationships/externalLink" Target="externalLinks/externalLink24.xml"/><Relationship Id="rId30" Type="http://schemas.openxmlformats.org/officeDocument/2006/relationships/externalLink" Target="externalLinks/externalLink27.xml"/><Relationship Id="rId35" Type="http://schemas.openxmlformats.org/officeDocument/2006/relationships/styles" Target="styles.xml"/><Relationship Id="rId8" Type="http://schemas.openxmlformats.org/officeDocument/2006/relationships/externalLink" Target="externalLinks/externalLink5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9.xml"/><Relationship Id="rId17" Type="http://schemas.openxmlformats.org/officeDocument/2006/relationships/externalLink" Target="externalLinks/externalLink14.xml"/><Relationship Id="rId25" Type="http://schemas.openxmlformats.org/officeDocument/2006/relationships/externalLink" Target="externalLinks/externalLink22.xml"/><Relationship Id="rId33" Type="http://schemas.openxmlformats.org/officeDocument/2006/relationships/externalLink" Target="externalLinks/externalLink30.xml"/><Relationship Id="rId38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microsoft.com/office/2019/04/relationships/externalLinkLongPath" Target="file:///C:\Users\Gordon\AppData\Local\Microsoft\Windows\Temporary%20Internet%20Files\Content.Outlook\8X8D61CC\Documents%20and%20Settings\Selena\My%20Documents\LSC\Projects\South%20County%20Transit%20Plan\data%20files\Operating\Aug%2009%20daily%20riders%20and%20miles%20sjm.xls?3D1A686C" TargetMode="External"/><Relationship Id="rId1" Type="http://schemas.openxmlformats.org/officeDocument/2006/relationships/externalLinkPath" Target="file:///\\3D1A686C\Aug%2009%20daily%20riders%20and%20miles%20sjm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Amador%20TDP\Data\Amador%20Draft%20Plan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OCUME~1\ADMINI~1\LOCALS~1\Temp\EST9900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Amador%20TDP/Data/Amador%20Draft%20Plan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DOCUME~1/ADMINI~1/LOCALS~1/Temp/EST9900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Amador%202008%20TDP%20and%20Design%20Manual/Spreadsheets/Amador%202008%20TDP%20TM1%20Tables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Amador%202008%20TDP%20and%20Design%20Manual/Spreadsheets/ARTS%2006-07%20BUDGET%20and%20Cost%20Model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epartmental%20Budgets\Budget%20Graph\Revenues\Transit%20Revenues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Gordon/AppData/Local/Microsoft/Windows/Temporary%20Internet%20Files/Content.Outlook/8X8D61CC/Amador%20TDP/Data/Amador%20Draft%20Plan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Gordon/AppData/Local/Microsoft/Windows/Temporary%20Internet%20Files/Content.Outlook/8X8D61CC/Amador%202008%20TDP%20and%20Design%20Manual/Spreadsheets/Amador%202008%20TDP%20TM1%20Tables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Gordon/AppData/Local/Microsoft/Windows/Temporary%20Internet%20Files/Content.Outlook/8X8D61CC/Amador%202008%20TDP%20and%20Design%20Manual/Spreadsheets/ARTS%2006-07%20BUDGET%20and%20Cost%20Model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Gordon/AppData/Local/Microsoft/Windows/Temporary%20Internet%20Files/Content.Outlook/8X8D61CC/DOCUME~1/ADMINI~1/LOCALS~1/Temp/EST9900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mador%20TDP\Data\Amador%20Draft%20Plan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~1\ADMINI~1\LOCALS~1\Temp\EST9900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mador%202008%20TDP%20and%20Design%20Manual\Spreadsheets\Amador%202008%20TDP%20TM1%20Tables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mador%202008%20TDP%20and%20Design%20Manual\Spreadsheets\ARTS%2006-07%20BUDGET%20and%20Cost%20Model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Share\Users\John\Documents\Finance\Budgets\09-10\Revised%20ESTA%20Budget%20v-011709.xls" TargetMode="External"/></Relationships>
</file>

<file path=xl/externalLinks/_rels/externalLink18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Shared%20drives/Planning%20Active%20Projects/Shasta%20Region%20Coordinated%20Plan%20-%20P236140/Outreach/Transportation%20Service%20Agency%20Survey/Data/Shasta%20CTP-%20TSA%20Survey%20Results.xlsx" TargetMode="External"/><Relationship Id="rId2" Type="http://schemas.openxmlformats.org/officeDocument/2006/relationships/externalLinkPath" Target="file:///G:\Shared%20drives\Planning%20Active%20Projects\Shasta%20Region%20Coordinated%20Plan%20-%20P236140\Outreach\Transportation%20Service%20Agency%20Survey\Data\Shasta%20CTP-%20TSA%20Survey%20Results.xlsx" TargetMode="External"/><Relationship Id="rId1" Type="http://schemas.openxmlformats.org/officeDocument/2006/relationships/externalLinkPath" Target="/Shared%20drives/Planning%20Active%20Projects/Shasta%20Region%20Coordinated%20Plan%20-%20P236140/Outreach/Transportation%20Service%20Agency%20Survey/Data/Shasta%20CTP-%20TSA%20Survey%20Results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VOICE1" TargetMode="External"/></Relationships>
</file>

<file path=xl/externalLinks/_rels/externalLink20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Shared%20drives/Planning%20Active%20Projects/Truckee%20Microtransit%20Study%20-%20P226050/Truckee%20Microtransit%20Study.xlsx" TargetMode="External"/><Relationship Id="rId2" Type="http://schemas.openxmlformats.org/officeDocument/2006/relationships/externalLinkPath" Target="file:///G:\Shared%20drives\Planning%20Active%20Projects\Truckee%20Microtransit%20Study%20-%20P226050\Truckee%20Microtransit%20Study.xlsx" TargetMode="External"/><Relationship Id="rId1" Type="http://schemas.openxmlformats.org/officeDocument/2006/relationships/externalLinkPath" Target="/Shared%20drives/Planning%20Active%20Projects/Truckee%20Microtransit%20Study%20-%20P226050/Truckee%20Microtransit%20Study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aroon%20Creek\data\MCC%20Final%20Report%20Tables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JBelanger\Local%20Settings\Temporary%20Internet%20Files\OLK249\Placer%20SRTP03%20TM2%20back-up%20data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Blue%20Office\TIRCP%20Coordinator\Program%20Allocation%20Plans\2023\07%20December\4.30%20TIRCP-%20December%202023%20Program%20Allocation%20Plan%209-29-2023_Draft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Placer%20County%20SRTPs%202003\Data\PCT%20FY04-05%20Budget%20Back-Up%20Data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Geographic%20Library\Tahoe%20Regionwide\TRPA\TRPA%20Data\Summer%202006%20Visitor%20Survey%20Data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Gordon\AppData\Local\Microsoft\Windows\Temporary%20Internet%20Files\Content.Outlook\8X8D61CC\Documents%20and%20Settings\eguillot\Local%20Settings\Temporary%20Internet%20Files\OLK53\SCAT%20Ridership%20July%209-10%20IN.xls" TargetMode="External"/></Relationships>
</file>

<file path=xl/externalLinks/_rels/externalLink27.xml.rels><?xml version="1.0" encoding="UTF-8" standalone="yes"?>
<Relationships xmlns="http://schemas.openxmlformats.org/package/2006/relationships"><Relationship Id="rId2" Type="http://schemas.microsoft.com/office/2019/04/relationships/externalLinkLongPath" Target="file:///C:\Users\Gordon\AppData\Local\Microsoft\Windows\Temporary%20Internet%20Files\Content.Outlook\8X8D61CC\Documents%20and%20Settings\Selena\My%20Documents\Selena's\LSC\Projects\Lassen\Background\old%20reports\Placer%20SRTP03%20TM2%20back-up%20data.xls?FD4AD547" TargetMode="External"/><Relationship Id="rId1" Type="http://schemas.openxmlformats.org/officeDocument/2006/relationships/externalLinkPath" Target="file:///\\FD4AD547\Placer%20SRTP03%20TM2%20back-up%20data.xls" TargetMode="External"/></Relationships>
</file>

<file path=xl/externalLinks/_rels/externalLink28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Shared%20drives/Planning%20Active%20Projects/ESTA%202021%20SRTP%20CHSP%20-%20T217200/Spreadsheets/NTD%20Vehicle%20expenses%202019.xlsm" TargetMode="External"/><Relationship Id="rId1" Type="http://schemas.openxmlformats.org/officeDocument/2006/relationships/externalLinkPath" Target="/Shared%20drives/Planning%20Active%20Projects/ESTA%202021%20SRTP%20CHSP%20-%20T217200/Spreadsheets/NTD%20Vehicle%20expenses%202019.xlsm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Gordon\AppData\Local\Microsoft\Windows\Temporary%20Internet%20Files\Content.Outlook\8X8D61CC\Documents%20and%20Settings\GM\My%20Documents\Reports\Monthly\Div__160_Monthly_Report_201001.xls" TargetMode="External"/></Relationships>
</file>

<file path=xl/externalLinks/_rels/externalLink3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Shared%20drives\Planning%20Active%20Projects\TRPA%20COA%202025\Spreadsheets\Existing%20Conditions%20Demographics%20Operations.xlsx" TargetMode="External"/><Relationship Id="rId1" Type="http://schemas.openxmlformats.org/officeDocument/2006/relationships/externalLinkPath" Target="Existing%20Conditions%20Demographics%20Operation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"/>
      <sheetName val="4"/>
      <sheetName val="5"/>
      <sheetName val="6"/>
      <sheetName val="7"/>
      <sheetName val="10"/>
      <sheetName val="11"/>
      <sheetName val="12"/>
      <sheetName val="13"/>
      <sheetName val="14"/>
      <sheetName val="17"/>
      <sheetName val="18"/>
      <sheetName val="19"/>
      <sheetName val="20"/>
      <sheetName val="21"/>
      <sheetName val="24"/>
      <sheetName val="25"/>
      <sheetName val="26"/>
      <sheetName val="27"/>
      <sheetName val="28"/>
      <sheetName val="31"/>
      <sheetName val="SUM"/>
      <sheetName val="U"/>
      <sheetName val="W"/>
      <sheetName val="Sat 1"/>
      <sheetName val="Sat 8"/>
      <sheetName val="Sat 15"/>
      <sheetName val="Sat 22"/>
      <sheetName val="Sat 29"/>
      <sheetName val="Sun 2"/>
      <sheetName val="Sun 9"/>
      <sheetName val="Sun 16"/>
      <sheetName val="Sun 23"/>
      <sheetName val="Sun 30"/>
      <sheetName val="RT 21"/>
      <sheetName val="RT 21 SAT"/>
      <sheetName val="RT 21 SUN"/>
      <sheetName val="RT 23"/>
      <sheetName val="RT 23 SAT"/>
      <sheetName val="RT 23 SUN"/>
      <sheetName val="RT 24"/>
      <sheetName val="RT 24 SAT"/>
      <sheetName val="RT 24 SUN"/>
      <sheetName val="RT 25"/>
      <sheetName val="WEEKDAY"/>
      <sheetName val="SATURDAY"/>
      <sheetName val="SUNDAY"/>
      <sheetName val="MILEAGE SUM"/>
      <sheetName val="AVILA"/>
      <sheetName val="LOPEZ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1 Unemployment"/>
      <sheetName val="T2 Employers"/>
      <sheetName val="T3 Traffic"/>
      <sheetName val="T4 Pop Proj"/>
      <sheetName val="T5 Pop Char"/>
      <sheetName val="T6 Mode to Work"/>
      <sheetName val="T7 Commuter Flow"/>
      <sheetName val="Figs 7 &amp; 8"/>
      <sheetName val="T8 School"/>
      <sheetName val="T9 Perf Ind"/>
      <sheetName val="F10 to F16 Perf Graphs"/>
      <sheetName val="T10 MM RM P Px"/>
      <sheetName val="T11 I C V Px"/>
      <sheetName val="T12 Misc Px"/>
      <sheetName val="F17 &amp; F18 Pax by rte &amp; run"/>
      <sheetName val="T13 Px by Type"/>
      <sheetName val="RideSum"/>
      <sheetName val="T14 Fleet"/>
      <sheetName val="T15 Rev by Source"/>
      <sheetName val="T16 Revenue"/>
      <sheetName val="T17 Expense"/>
      <sheetName val="T18 Providers"/>
      <sheetName val="T19 SS Providers"/>
      <sheetName val="T20 Emp Demand"/>
      <sheetName val="T21 Non-Prog Demand"/>
      <sheetName val="T22 Prog Demand"/>
      <sheetName val="T23 Demand Summary"/>
      <sheetName val="T24 Alts"/>
      <sheetName val="F19 Route Platform"/>
      <sheetName val="T25 AltPerf"/>
      <sheetName val="F20 to F24 Alt Perf Graphs"/>
      <sheetName val="T26 to T30 Plan Tables"/>
      <sheetName val="FY03-04 Budget"/>
      <sheetName val="FY02-03 Ridership"/>
      <sheetName val="Route X ridership history"/>
      <sheetName val="Elasticity"/>
      <sheetName val="Pop"/>
      <sheetName val="commute flow"/>
      <sheetName val="school"/>
      <sheetName val="Ridebytype"/>
      <sheetName val="productivity"/>
      <sheetName val="by Rte Run"/>
      <sheetName val="PxPerRun"/>
      <sheetName val="PxPerHr"/>
      <sheetName val="Commute from"/>
      <sheetName val="Commute to"/>
      <sheetName val="Hrs per Run"/>
      <sheetName val="Op Data"/>
      <sheetName val="Raw 2001 Caltrans Traffic Data"/>
      <sheetName val="Intercity"/>
      <sheetName val="Rancheria Px"/>
      <sheetName val="hist pop"/>
      <sheetName val=" Hist Pop"/>
      <sheetName val="F20 Route Platfor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ULY"/>
      <sheetName val="AUGUST"/>
      <sheetName val="SEPTEMBER "/>
      <sheetName val="OCTOBER "/>
      <sheetName val="NOVEMBER"/>
      <sheetName val="DECEMBER "/>
      <sheetName val="JANUARY "/>
      <sheetName val="FEBRUARY "/>
      <sheetName val="MARCH "/>
      <sheetName val="APRIL "/>
      <sheetName val="MAY "/>
      <sheetName val="JUNE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>
        <row r="4">
          <cell r="E4">
            <v>298662.64000000007</v>
          </cell>
        </row>
        <row r="5">
          <cell r="E5">
            <v>6906.7</v>
          </cell>
        </row>
        <row r="6">
          <cell r="E6">
            <v>3491.2999999999997</v>
          </cell>
        </row>
        <row r="7">
          <cell r="E7">
            <v>19786.96</v>
          </cell>
        </row>
        <row r="8">
          <cell r="E8">
            <v>1516.52</v>
          </cell>
        </row>
        <row r="9">
          <cell r="E9">
            <v>19739.2</v>
          </cell>
        </row>
        <row r="10">
          <cell r="E10">
            <v>81</v>
          </cell>
        </row>
        <row r="11">
          <cell r="E11">
            <v>350184.32</v>
          </cell>
        </row>
        <row r="14">
          <cell r="E14">
            <v>3784.5</v>
          </cell>
        </row>
        <row r="15">
          <cell r="E15">
            <v>969.61</v>
          </cell>
        </row>
        <row r="16">
          <cell r="E16">
            <v>19134</v>
          </cell>
        </row>
        <row r="17">
          <cell r="E17">
            <v>52648.100000000006</v>
          </cell>
        </row>
        <row r="18">
          <cell r="E18">
            <v>1919.63</v>
          </cell>
        </row>
        <row r="19">
          <cell r="E19">
            <v>2221.67</v>
          </cell>
        </row>
        <row r="20">
          <cell r="E20">
            <v>9948.840000000002</v>
          </cell>
        </row>
        <row r="21">
          <cell r="E21">
            <v>600</v>
          </cell>
        </row>
        <row r="22">
          <cell r="E22">
            <v>3604.99</v>
          </cell>
        </row>
        <row r="23">
          <cell r="E23">
            <v>38.590000000000003</v>
          </cell>
        </row>
        <row r="24">
          <cell r="E24">
            <v>1332</v>
          </cell>
        </row>
        <row r="25">
          <cell r="E25">
            <v>2928.8300000000004</v>
          </cell>
        </row>
        <row r="26">
          <cell r="E26">
            <v>34985.03</v>
          </cell>
        </row>
        <row r="27">
          <cell r="E27">
            <v>4585.97</v>
          </cell>
        </row>
        <row r="28">
          <cell r="E28">
            <v>138701.76000000001</v>
          </cell>
        </row>
        <row r="30">
          <cell r="E30">
            <v>488886.08</v>
          </cell>
        </row>
        <row r="33">
          <cell r="E33">
            <v>23457.48</v>
          </cell>
        </row>
        <row r="34">
          <cell r="E34">
            <v>2627.9599999999996</v>
          </cell>
        </row>
        <row r="35">
          <cell r="E35">
            <v>0</v>
          </cell>
        </row>
      </sheetData>
      <sheetData sheetId="1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1 Unemployment"/>
      <sheetName val="T2 Employers"/>
      <sheetName val="T3 Traffic"/>
      <sheetName val="T4 Pop Proj"/>
      <sheetName val="T5 Pop Char"/>
      <sheetName val="T6 Mode to Work"/>
      <sheetName val="T7 Commuter Flow"/>
      <sheetName val="Figs 7 &amp; 8"/>
      <sheetName val="T8 School"/>
      <sheetName val="T9 Perf Ind"/>
      <sheetName val="F10 to F16 Perf Graphs"/>
      <sheetName val="T10 MM RM P Px"/>
      <sheetName val="T11 I C V Px"/>
      <sheetName val="T12 Misc Px"/>
      <sheetName val="F17 &amp; F18 Pax by rte &amp; run"/>
      <sheetName val="T13 Px by Type"/>
      <sheetName val="RideSum"/>
      <sheetName val="T14 Fleet"/>
      <sheetName val="T15 Rev by Source"/>
      <sheetName val="T16 Revenue"/>
      <sheetName val="T17 Expense"/>
      <sheetName val="T18 Providers"/>
      <sheetName val="T19 SS Providers"/>
      <sheetName val="T20 Emp Demand"/>
      <sheetName val="T21 Non-Prog Demand"/>
      <sheetName val="T22 Prog Demand"/>
      <sheetName val="T23 Demand Summary"/>
      <sheetName val="T24 Alts"/>
      <sheetName val="F19 Route Platform"/>
      <sheetName val="T25 AltPerf"/>
      <sheetName val="F20 to F24 Alt Perf Graphs"/>
      <sheetName val="T26 to T30 Plan Tables"/>
      <sheetName val="FY03-04 Budget"/>
      <sheetName val="FY02-03 Ridership"/>
      <sheetName val="Route X ridership history"/>
      <sheetName val="Elasticity"/>
      <sheetName val="Pop"/>
      <sheetName val="commute flow"/>
      <sheetName val="school"/>
      <sheetName val="Ridebytype"/>
      <sheetName val="productivity"/>
      <sheetName val="by Rte Run"/>
      <sheetName val="PxPerRun"/>
      <sheetName val="PxPerHr"/>
      <sheetName val="Commute from"/>
      <sheetName val="Commute to"/>
      <sheetName val="Hrs per Run"/>
      <sheetName val="Op Data"/>
      <sheetName val="Raw 2001 Caltrans Traffic Data"/>
      <sheetName val="Intercity"/>
      <sheetName val="Rancheria Px"/>
      <sheetName val="hist pop"/>
      <sheetName val=" Hist Pop"/>
      <sheetName val="F20 Route Platfor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/>
      <sheetData sheetId="52" refreshError="1"/>
      <sheetData sheetId="53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ULY"/>
      <sheetName val="AUGUST"/>
      <sheetName val="SEPTEMBER "/>
      <sheetName val="OCTOBER "/>
      <sheetName val="NOVEMBER"/>
      <sheetName val="DECEMBER "/>
      <sheetName val="JANUARY "/>
      <sheetName val="FEBRUARY "/>
      <sheetName val="MARCH "/>
      <sheetName val="APRIL "/>
      <sheetName val="MAY "/>
      <sheetName val="JUNE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>
        <row r="4">
          <cell r="E4">
            <v>298662.64000000007</v>
          </cell>
        </row>
        <row r="5">
          <cell r="E5">
            <v>6906.7</v>
          </cell>
        </row>
        <row r="6">
          <cell r="E6">
            <v>3491.2999999999997</v>
          </cell>
        </row>
        <row r="7">
          <cell r="E7">
            <v>19786.96</v>
          </cell>
        </row>
        <row r="8">
          <cell r="E8">
            <v>1516.52</v>
          </cell>
        </row>
        <row r="9">
          <cell r="E9">
            <v>19739.2</v>
          </cell>
        </row>
        <row r="10">
          <cell r="E10">
            <v>81</v>
          </cell>
        </row>
        <row r="11">
          <cell r="E11">
            <v>350184.32</v>
          </cell>
        </row>
        <row r="14">
          <cell r="E14">
            <v>3784.5</v>
          </cell>
        </row>
        <row r="15">
          <cell r="E15">
            <v>969.61</v>
          </cell>
        </row>
        <row r="16">
          <cell r="E16">
            <v>19134</v>
          </cell>
        </row>
        <row r="17">
          <cell r="E17">
            <v>52648.100000000006</v>
          </cell>
        </row>
        <row r="18">
          <cell r="E18">
            <v>1919.63</v>
          </cell>
        </row>
        <row r="19">
          <cell r="E19">
            <v>2221.67</v>
          </cell>
        </row>
        <row r="20">
          <cell r="E20">
            <v>9948.840000000002</v>
          </cell>
        </row>
        <row r="21">
          <cell r="E21">
            <v>600</v>
          </cell>
        </row>
        <row r="22">
          <cell r="E22">
            <v>3604.99</v>
          </cell>
        </row>
        <row r="23">
          <cell r="E23">
            <v>38.590000000000003</v>
          </cell>
        </row>
        <row r="24">
          <cell r="E24">
            <v>1332</v>
          </cell>
        </row>
        <row r="25">
          <cell r="E25">
            <v>2928.8300000000004</v>
          </cell>
        </row>
        <row r="26">
          <cell r="E26">
            <v>34985.03</v>
          </cell>
        </row>
        <row r="27">
          <cell r="E27">
            <v>4585.97</v>
          </cell>
        </row>
        <row r="28">
          <cell r="E28">
            <v>138701.76000000001</v>
          </cell>
        </row>
        <row r="30">
          <cell r="E30">
            <v>488886.08</v>
          </cell>
        </row>
        <row r="33">
          <cell r="E33">
            <v>23457.48</v>
          </cell>
        </row>
        <row r="34">
          <cell r="E34">
            <v>2627.9599999999996</v>
          </cell>
        </row>
        <row r="35">
          <cell r="E35">
            <v>0</v>
          </cell>
        </row>
      </sheetData>
      <sheetData sheetId="1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1 Unemployment"/>
      <sheetName val="T2 Employers"/>
      <sheetName val="T3 Pop Proj"/>
      <sheetName val="T4 Pop Char"/>
      <sheetName val="T5 Mode to Work"/>
      <sheetName val="T6 Commuter Flow"/>
      <sheetName val="Figs 7 &amp; 8"/>
      <sheetName val="T7 School"/>
      <sheetName val="T8 Res Dev"/>
      <sheetName val="T9 Pop Forecast"/>
      <sheetName val="T10 Model Demographics"/>
      <sheetName val="T11 Ex and Proj Traffic"/>
      <sheetName val="T12 Revenues"/>
      <sheetName val="T13 LTF History"/>
      <sheetName val="Fig10 LTF"/>
      <sheetName val="Fig10 LTF (2)"/>
      <sheetName val="T13 LTF History (2)"/>
      <sheetName val="T14 Cost Model"/>
      <sheetName val="Fig 11 Ann'l Ridership"/>
      <sheetName val="T16 Rdshp by Route &amp; Run"/>
      <sheetName val="T17 Monthly Rdshp "/>
      <sheetName val="T18 Fare Type by Route"/>
      <sheetName val="Fig12 One Way Pax per Hour"/>
      <sheetName val="Fig13 One Way Pax per Mile"/>
      <sheetName val="Fig14 Ann'l Op Costs"/>
      <sheetName val="Fig15 Cost per Pax Trip"/>
      <sheetName val="Fig16 Farebox Ratio"/>
      <sheetName val="Fig17 Subsidy per pax"/>
      <sheetName val="T19 Vehicle Fleet"/>
      <sheetName val="Intercity"/>
      <sheetName val="T20 Emp Demand"/>
      <sheetName val="T21 Non-Prog Demand"/>
      <sheetName val="T22 Prog Demand"/>
      <sheetName val="T23 Demand Summary"/>
      <sheetName val="T24 Chart"/>
      <sheetName val="T24 Long-Range Demand"/>
      <sheetName val="Fig 18 Demand"/>
      <sheetName val="ADA Demand"/>
      <sheetName val="T24 Alts"/>
      <sheetName val="F19 Route Platform"/>
      <sheetName val="T25 AltPerf"/>
      <sheetName val="F20 to F24 Alt Perf Graphs"/>
      <sheetName val="T26 to T30 Plan Tables"/>
      <sheetName val="LongRange"/>
      <sheetName val="FY03-04 Budget"/>
      <sheetName val="FY02-03 Ridership"/>
      <sheetName val="Route X ridership history"/>
      <sheetName val="Elasticity"/>
      <sheetName val="Ann'l Op Costs - Svc Alts"/>
      <sheetName val="Pop"/>
      <sheetName val="commute flow"/>
      <sheetName val="school"/>
      <sheetName val="Ridebytype"/>
      <sheetName val="productivity"/>
      <sheetName val="by Rte Run"/>
      <sheetName val="PxPerRun"/>
      <sheetName val="PxPerHr"/>
      <sheetName val="Commute from"/>
      <sheetName val="Commute to"/>
      <sheetName val="Hrs per Run"/>
      <sheetName val="Op Data"/>
      <sheetName val="Raw 2001 Caltrans Traffic Data"/>
      <sheetName val="Rancheria Px"/>
      <sheetName val="hist pop"/>
      <sheetName val=" Hist Pop"/>
      <sheetName val="T3 Traffic"/>
      <sheetName val="AMADOR_DEMOGRAPHICS_2000"/>
      <sheetName val="Amador_Demographics_2025"/>
      <sheetName val="T15 Ann'l Op Costs"/>
    </sheetNames>
    <sheetDataSet>
      <sheetData sheetId="0" refreshError="1"/>
      <sheetData sheetId="1" refreshError="1"/>
      <sheetData sheetId="2">
        <row r="15">
          <cell r="F15">
            <v>1.1820268368340603E-2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>
        <row r="42">
          <cell r="E42">
            <v>37.73433896473265</v>
          </cell>
        </row>
      </sheetData>
      <sheetData sheetId="18" refreshError="1"/>
      <sheetData sheetId="19">
        <row r="9">
          <cell r="K9">
            <v>28644</v>
          </cell>
        </row>
      </sheetData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>
        <row r="29">
          <cell r="C29">
            <v>221980</v>
          </cell>
        </row>
      </sheetData>
      <sheetData sheetId="45"/>
      <sheetData sheetId="46" refreshError="1"/>
      <sheetData sheetId="47">
        <row r="16">
          <cell r="L16">
            <v>30199</v>
          </cell>
        </row>
      </sheetData>
      <sheetData sheetId="48" refreshError="1"/>
      <sheetData sheetId="49">
        <row r="6">
          <cell r="J6">
            <v>35100</v>
          </cell>
        </row>
      </sheetData>
      <sheetData sheetId="50">
        <row r="31">
          <cell r="B31" t="str">
            <v xml:space="preserve">Amador </v>
          </cell>
        </row>
      </sheetData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>
        <row r="13">
          <cell r="B13">
            <v>30039</v>
          </cell>
        </row>
      </sheetData>
      <sheetData sheetId="64" refreshError="1"/>
      <sheetData sheetId="65" refreshError="1"/>
      <sheetData sheetId="66" refreshError="1"/>
      <sheetData sheetId="67"/>
      <sheetData sheetId="68">
        <row r="23">
          <cell r="R23">
            <v>7.8753004878877038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ULY"/>
      <sheetName val="AUGUST"/>
      <sheetName val="SEPTEMBER "/>
      <sheetName val="OCTOBER "/>
      <sheetName val="NOVEMBER"/>
      <sheetName val="DECEMBER "/>
      <sheetName val="JANUARY "/>
      <sheetName val="FEBRUARY "/>
      <sheetName val="MARCH "/>
      <sheetName val="APRIL "/>
      <sheetName val="MAY "/>
      <sheetName val="JUNE "/>
      <sheetName val="Chart1"/>
      <sheetName val="0607 ARTS Revenues"/>
      <sheetName val="LTF History"/>
      <sheetName val="T17 Cost Mode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4">
          <cell r="E4">
            <v>617674.54</v>
          </cell>
        </row>
        <row r="5">
          <cell r="E5">
            <v>73934.229999999981</v>
          </cell>
        </row>
        <row r="6">
          <cell r="E6">
            <v>6526.2499999999991</v>
          </cell>
        </row>
        <row r="7">
          <cell r="E7">
            <v>24205.639999999996</v>
          </cell>
        </row>
        <row r="8">
          <cell r="E8">
            <v>4299.88</v>
          </cell>
        </row>
        <row r="9">
          <cell r="E9">
            <v>6439.58</v>
          </cell>
        </row>
        <row r="10">
          <cell r="E10">
            <v>60541</v>
          </cell>
        </row>
        <row r="11">
          <cell r="E11">
            <v>5510</v>
          </cell>
        </row>
        <row r="15">
          <cell r="E15">
            <v>5735.6699999999992</v>
          </cell>
        </row>
        <row r="16">
          <cell r="E16">
            <v>1670.29</v>
          </cell>
        </row>
        <row r="17">
          <cell r="E17">
            <v>43225.760000000002</v>
          </cell>
        </row>
        <row r="19">
          <cell r="E19">
            <v>84219.650000000009</v>
          </cell>
        </row>
        <row r="20">
          <cell r="E20">
            <v>4902.7700000000004</v>
          </cell>
        </row>
        <row r="22">
          <cell r="E22">
            <v>31745.279999999999</v>
          </cell>
        </row>
        <row r="23">
          <cell r="E23">
            <v>6300</v>
          </cell>
        </row>
        <row r="24">
          <cell r="E24">
            <v>9366.369999999999</v>
          </cell>
        </row>
        <row r="25">
          <cell r="E25">
            <v>2903.95</v>
          </cell>
        </row>
        <row r="26">
          <cell r="E26">
            <v>1512.6</v>
          </cell>
        </row>
        <row r="27">
          <cell r="E27">
            <v>2764.5499999999997</v>
          </cell>
        </row>
        <row r="28">
          <cell r="E28">
            <v>94633.099999999991</v>
          </cell>
        </row>
        <row r="29">
          <cell r="E29">
            <v>11637.52</v>
          </cell>
        </row>
      </sheetData>
      <sheetData sheetId="12" refreshError="1"/>
      <sheetData sheetId="13"/>
      <sheetData sheetId="14">
        <row r="5">
          <cell r="D5" t="str">
            <v>ARTS</v>
          </cell>
        </row>
      </sheetData>
      <sheetData sheetId="15">
        <row r="37">
          <cell r="E37">
            <v>262339.15760000004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verview"/>
      <sheetName val="Month By Month"/>
      <sheetName val="Budget Graph"/>
      <sheetName val="Code List"/>
      <sheetName val="Summary"/>
      <sheetName val="Table Data FY09"/>
      <sheetName val="Table Data FY08"/>
      <sheetName val="Budget Pivot"/>
      <sheetName val="Monthly Bud"/>
      <sheetName val="Sheet1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1 Unemployment"/>
      <sheetName val="T2 Employers"/>
      <sheetName val="T3 Traffic"/>
      <sheetName val="T4 Pop Proj"/>
      <sheetName val="T5 Pop Char"/>
      <sheetName val="T6 Mode to Work"/>
      <sheetName val="T7 Commuter Flow"/>
      <sheetName val="Figs 7 &amp; 8"/>
      <sheetName val="T8 School"/>
      <sheetName val="T9 Perf Ind"/>
      <sheetName val="F10 to F16 Perf Graphs"/>
      <sheetName val="T10 MM RM P Px"/>
      <sheetName val="T11 I C V Px"/>
      <sheetName val="T12 Misc Px"/>
      <sheetName val="F17 &amp; F18 Pax by rte &amp; run"/>
      <sheetName val="T13 Px by Type"/>
      <sheetName val="RideSum"/>
      <sheetName val="T14 Fleet"/>
      <sheetName val="T15 Rev by Source"/>
      <sheetName val="T16 Revenue"/>
      <sheetName val="T17 Expense"/>
      <sheetName val="T18 Providers"/>
      <sheetName val="T19 SS Providers"/>
      <sheetName val="T20 Emp Demand"/>
      <sheetName val="T21 Non-Prog Demand"/>
      <sheetName val="T22 Prog Demand"/>
      <sheetName val="T23 Demand Summary"/>
      <sheetName val="T24 Alts"/>
      <sheetName val="F19 Route Platform"/>
      <sheetName val="T25 AltPerf"/>
      <sheetName val="F20 to F24 Alt Perf Graphs"/>
      <sheetName val="T26 to T30 Plan Tables"/>
      <sheetName val="FY03-04 Budget"/>
      <sheetName val="FY02-03 Ridership"/>
      <sheetName val="Route X ridership history"/>
      <sheetName val="Elasticity"/>
      <sheetName val="Pop"/>
      <sheetName val="commute flow"/>
      <sheetName val="school"/>
      <sheetName val="Ridebytype"/>
      <sheetName val="productivity"/>
      <sheetName val="by Rte Run"/>
      <sheetName val="PxPerRun"/>
      <sheetName val="PxPerHr"/>
      <sheetName val="Commute from"/>
      <sheetName val="Commute to"/>
      <sheetName val="Hrs per Run"/>
      <sheetName val="Op Data"/>
      <sheetName val="Raw 2001 Caltrans Traffic Data"/>
      <sheetName val="Intercity"/>
      <sheetName val="Rancheria Px"/>
      <sheetName val="hist pop"/>
      <sheetName val=" Hist Pop"/>
      <sheetName val="F20 Route Platfor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/>
      <sheetData sheetId="52" refreshError="1"/>
      <sheetData sheetId="53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1 Unemployment"/>
      <sheetName val="T2 Employers"/>
      <sheetName val="T3 Pop Proj"/>
      <sheetName val="T4 Pop Char"/>
      <sheetName val="T5 Mode to Work"/>
      <sheetName val="T6 Commuter Flow"/>
      <sheetName val="Figs 7 &amp; 8"/>
      <sheetName val="T7 School"/>
      <sheetName val="T8 Res Dev"/>
      <sheetName val="T9 Pop Forecast"/>
      <sheetName val="T10 Model Demographics"/>
      <sheetName val="T11 Ex and Proj Traffic"/>
      <sheetName val="T12 Revenues"/>
      <sheetName val="T13 LTF History"/>
      <sheetName val="Fig10 LTF"/>
      <sheetName val="Fig10 LTF (2)"/>
      <sheetName val="T13 LTF History (2)"/>
      <sheetName val="T14 Cost Model"/>
      <sheetName val="Fig 11 Ann'l Ridership"/>
      <sheetName val="T16 Rdshp by Route &amp; Run"/>
      <sheetName val="T17 Monthly Rdshp "/>
      <sheetName val="T18 Fare Type by Route"/>
      <sheetName val="Fig12 One Way Pax per Hour"/>
      <sheetName val="Fig13 One Way Pax per Mile"/>
      <sheetName val="Fig14 Ann'l Op Costs"/>
      <sheetName val="Fig15 Cost per Pax Trip"/>
      <sheetName val="Fig16 Farebox Ratio"/>
      <sheetName val="Fig17 Subsidy per pax"/>
      <sheetName val="T19 Vehicle Fleet"/>
      <sheetName val="Intercity"/>
      <sheetName val="T20 Emp Demand"/>
      <sheetName val="T21 Non-Prog Demand"/>
      <sheetName val="T22 Prog Demand"/>
      <sheetName val="T23 Demand Summary"/>
      <sheetName val="T24 Chart"/>
      <sheetName val="T24 Long-Range Demand"/>
      <sheetName val="Fig 18 Demand"/>
      <sheetName val="ADA Demand"/>
      <sheetName val="T24 Alts"/>
      <sheetName val="F19 Route Platform"/>
      <sheetName val="T25 AltPerf"/>
      <sheetName val="F20 to F24 Alt Perf Graphs"/>
      <sheetName val="T26 to T30 Plan Tables"/>
      <sheetName val="LongRange"/>
      <sheetName val="FY03-04 Budget"/>
      <sheetName val="FY02-03 Ridership"/>
      <sheetName val="Route X ridership history"/>
      <sheetName val="Elasticity"/>
      <sheetName val="Ann'l Op Costs - Svc Alts"/>
      <sheetName val="Pop"/>
      <sheetName val="commute flow"/>
      <sheetName val="school"/>
      <sheetName val="Ridebytype"/>
      <sheetName val="productivity"/>
      <sheetName val="by Rte Run"/>
      <sheetName val="PxPerRun"/>
      <sheetName val="PxPerHr"/>
      <sheetName val="Commute from"/>
      <sheetName val="Commute to"/>
      <sheetName val="Hrs per Run"/>
      <sheetName val="Op Data"/>
      <sheetName val="Raw 2001 Caltrans Traffic Data"/>
      <sheetName val="Rancheria Px"/>
      <sheetName val="hist pop"/>
      <sheetName val=" Hist Pop"/>
      <sheetName val="T3 Traffic"/>
      <sheetName val="AMADOR_DEMOGRAPHICS_2000"/>
      <sheetName val="Amador_Demographics_2025"/>
      <sheetName val="T15 Ann'l Op Costs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>
        <row r="29">
          <cell r="C29">
            <v>221980</v>
          </cell>
        </row>
      </sheetData>
      <sheetData sheetId="45"/>
      <sheetData sheetId="46" refreshError="1"/>
      <sheetData sheetId="47"/>
      <sheetData sheetId="48" refreshError="1"/>
      <sheetData sheetId="49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/>
      <sheetData sheetId="64" refreshError="1"/>
      <sheetData sheetId="65" refreshError="1"/>
      <sheetData sheetId="66" refreshError="1"/>
      <sheetData sheetId="67"/>
      <sheetData sheetId="68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ULY"/>
      <sheetName val="AUGUST"/>
      <sheetName val="SEPTEMBER "/>
      <sheetName val="OCTOBER "/>
      <sheetName val="NOVEMBER"/>
      <sheetName val="DECEMBER "/>
      <sheetName val="JANUARY "/>
      <sheetName val="FEBRUARY "/>
      <sheetName val="MARCH "/>
      <sheetName val="APRIL "/>
      <sheetName val="MAY "/>
      <sheetName val="JUNE "/>
      <sheetName val="Chart1"/>
      <sheetName val="0607 ARTS Revenues"/>
      <sheetName val="LTF History"/>
      <sheetName val="T17 Cost Mode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4">
          <cell r="E4">
            <v>617674.54</v>
          </cell>
        </row>
        <row r="5">
          <cell r="E5">
            <v>73934.229999999981</v>
          </cell>
        </row>
        <row r="6">
          <cell r="E6">
            <v>6526.2499999999991</v>
          </cell>
        </row>
        <row r="7">
          <cell r="E7">
            <v>24205.639999999996</v>
          </cell>
        </row>
        <row r="8">
          <cell r="E8">
            <v>4299.88</v>
          </cell>
        </row>
        <row r="9">
          <cell r="E9">
            <v>6439.58</v>
          </cell>
        </row>
        <row r="10">
          <cell r="E10">
            <v>60541</v>
          </cell>
        </row>
        <row r="11">
          <cell r="E11">
            <v>5510</v>
          </cell>
        </row>
        <row r="15">
          <cell r="E15">
            <v>5735.6699999999992</v>
          </cell>
        </row>
        <row r="16">
          <cell r="E16">
            <v>1670.29</v>
          </cell>
        </row>
        <row r="17">
          <cell r="E17">
            <v>43225.760000000002</v>
          </cell>
        </row>
        <row r="19">
          <cell r="E19">
            <v>84219.650000000009</v>
          </cell>
        </row>
        <row r="20">
          <cell r="E20">
            <v>4902.7700000000004</v>
          </cell>
        </row>
        <row r="22">
          <cell r="E22">
            <v>31745.279999999999</v>
          </cell>
        </row>
        <row r="23">
          <cell r="E23">
            <v>6300</v>
          </cell>
        </row>
        <row r="24">
          <cell r="E24">
            <v>9366.369999999999</v>
          </cell>
        </row>
        <row r="25">
          <cell r="E25">
            <v>2903.95</v>
          </cell>
        </row>
        <row r="26">
          <cell r="E26">
            <v>1512.6</v>
          </cell>
        </row>
        <row r="27">
          <cell r="E27">
            <v>2764.5499999999997</v>
          </cell>
        </row>
        <row r="28">
          <cell r="E28">
            <v>94633.099999999991</v>
          </cell>
        </row>
        <row r="29">
          <cell r="E29">
            <v>11637.52</v>
          </cell>
        </row>
      </sheetData>
      <sheetData sheetId="12" refreshError="1"/>
      <sheetData sheetId="13"/>
      <sheetData sheetId="14"/>
      <sheetData sheetId="15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ULY"/>
      <sheetName val="AUGUST"/>
      <sheetName val="SEPTEMBER "/>
      <sheetName val="OCTOBER "/>
      <sheetName val="NOVEMBER"/>
      <sheetName val="DECEMBER "/>
      <sheetName val="JANUARY "/>
      <sheetName val="FEBRUARY "/>
      <sheetName val="MARCH "/>
      <sheetName val="APRIL "/>
      <sheetName val="MAY "/>
      <sheetName val="JUNE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>
        <row r="4">
          <cell r="E4">
            <v>298662.64000000007</v>
          </cell>
        </row>
        <row r="5">
          <cell r="E5">
            <v>6906.7</v>
          </cell>
        </row>
        <row r="6">
          <cell r="E6">
            <v>3491.2999999999997</v>
          </cell>
        </row>
        <row r="7">
          <cell r="E7">
            <v>19786.96</v>
          </cell>
        </row>
        <row r="8">
          <cell r="E8">
            <v>1516.52</v>
          </cell>
        </row>
        <row r="9">
          <cell r="E9">
            <v>19739.2</v>
          </cell>
        </row>
        <row r="10">
          <cell r="E10">
            <v>81</v>
          </cell>
        </row>
        <row r="11">
          <cell r="E11">
            <v>350184.32</v>
          </cell>
        </row>
        <row r="14">
          <cell r="E14">
            <v>3784.5</v>
          </cell>
        </row>
        <row r="15">
          <cell r="E15">
            <v>969.61</v>
          </cell>
        </row>
        <row r="16">
          <cell r="E16">
            <v>19134</v>
          </cell>
        </row>
        <row r="17">
          <cell r="E17">
            <v>52648.100000000006</v>
          </cell>
        </row>
        <row r="18">
          <cell r="E18">
            <v>1919.63</v>
          </cell>
        </row>
        <row r="19">
          <cell r="E19">
            <v>2221.67</v>
          </cell>
        </row>
        <row r="20">
          <cell r="E20">
            <v>9948.840000000002</v>
          </cell>
        </row>
        <row r="21">
          <cell r="E21">
            <v>600</v>
          </cell>
        </row>
        <row r="22">
          <cell r="E22">
            <v>3604.99</v>
          </cell>
        </row>
        <row r="23">
          <cell r="E23">
            <v>38.590000000000003</v>
          </cell>
        </row>
        <row r="24">
          <cell r="E24">
            <v>1332</v>
          </cell>
        </row>
        <row r="25">
          <cell r="E25">
            <v>2928.8300000000004</v>
          </cell>
        </row>
        <row r="26">
          <cell r="E26">
            <v>34985.03</v>
          </cell>
        </row>
        <row r="27">
          <cell r="E27">
            <v>4585.97</v>
          </cell>
        </row>
        <row r="28">
          <cell r="E28">
            <v>138701.76000000001</v>
          </cell>
        </row>
        <row r="30">
          <cell r="E30">
            <v>488886.08</v>
          </cell>
        </row>
        <row r="33">
          <cell r="E33">
            <v>23457.48</v>
          </cell>
        </row>
        <row r="34">
          <cell r="E34">
            <v>2627.9599999999996</v>
          </cell>
        </row>
        <row r="35">
          <cell r="E35">
            <v>0</v>
          </cell>
        </row>
      </sheetData>
      <sheetData sheetId="1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1 Unemployment"/>
      <sheetName val="T2 Employers"/>
      <sheetName val="T3 Traffic"/>
      <sheetName val="T4 Pop Proj"/>
      <sheetName val="T5 Pop Char"/>
      <sheetName val="T6 Mode to Work"/>
      <sheetName val="T7 Commuter Flow"/>
      <sheetName val="Figs 7 &amp; 8"/>
      <sheetName val="T8 School"/>
      <sheetName val="T9 Perf Ind"/>
      <sheetName val="F10 to F16 Perf Graphs"/>
      <sheetName val="T10 MM RM P Px"/>
      <sheetName val="T11 I C V Px"/>
      <sheetName val="T12 Misc Px"/>
      <sheetName val="F17 &amp; F18 Pax by rte &amp; run"/>
      <sheetName val="T13 Px by Type"/>
      <sheetName val="RideSum"/>
      <sheetName val="T14 Fleet"/>
      <sheetName val="T15 Rev by Source"/>
      <sheetName val="T16 Revenue"/>
      <sheetName val="T17 Expense"/>
      <sheetName val="T18 Providers"/>
      <sheetName val="T19 SS Providers"/>
      <sheetName val="T20 Emp Demand"/>
      <sheetName val="T21 Non-Prog Demand"/>
      <sheetName val="T22 Prog Demand"/>
      <sheetName val="T23 Demand Summary"/>
      <sheetName val="T24 Alts"/>
      <sheetName val="F19 Route Platform"/>
      <sheetName val="T25 AltPerf"/>
      <sheetName val="F20 to F24 Alt Perf Graphs"/>
      <sheetName val="T26 to T30 Plan Tables"/>
      <sheetName val="FY03-04 Budget"/>
      <sheetName val="FY02-03 Ridership"/>
      <sheetName val="Route X ridership history"/>
      <sheetName val="Elasticity"/>
      <sheetName val="Pop"/>
      <sheetName val="commute flow"/>
      <sheetName val="school"/>
      <sheetName val="Ridebytype"/>
      <sheetName val="productivity"/>
      <sheetName val="by Rte Run"/>
      <sheetName val="PxPerRun"/>
      <sheetName val="PxPerHr"/>
      <sheetName val="Commute from"/>
      <sheetName val="Commute to"/>
      <sheetName val="Hrs per Run"/>
      <sheetName val="Op Data"/>
      <sheetName val="Raw 2001 Caltrans Traffic Data"/>
      <sheetName val="Intercity"/>
      <sheetName val="Rancheria Px"/>
      <sheetName val="hist pop"/>
      <sheetName val=" Hist Pop"/>
      <sheetName val="F20 Route Platfor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/>
      <sheetData sheetId="52" refreshError="1"/>
      <sheetData sheetId="53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ULY"/>
      <sheetName val="AUGUST"/>
      <sheetName val="SEPTEMBER "/>
      <sheetName val="OCTOBER "/>
      <sheetName val="NOVEMBER"/>
      <sheetName val="DECEMBER "/>
      <sheetName val="JANUARY "/>
      <sheetName val="FEBRUARY "/>
      <sheetName val="MARCH "/>
      <sheetName val="APRIL "/>
      <sheetName val="MAY "/>
      <sheetName val="JUNE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>
        <row r="4">
          <cell r="E4">
            <v>298662.64000000007</v>
          </cell>
        </row>
        <row r="5">
          <cell r="E5">
            <v>6906.7</v>
          </cell>
        </row>
        <row r="6">
          <cell r="E6">
            <v>3491.2999999999997</v>
          </cell>
        </row>
        <row r="7">
          <cell r="E7">
            <v>19786.96</v>
          </cell>
        </row>
        <row r="8">
          <cell r="E8">
            <v>1516.52</v>
          </cell>
        </row>
        <row r="9">
          <cell r="E9">
            <v>19739.2</v>
          </cell>
        </row>
        <row r="10">
          <cell r="E10">
            <v>81</v>
          </cell>
        </row>
        <row r="11">
          <cell r="E11">
            <v>350184.32</v>
          </cell>
        </row>
        <row r="14">
          <cell r="E14">
            <v>3784.5</v>
          </cell>
        </row>
        <row r="15">
          <cell r="E15">
            <v>969.61</v>
          </cell>
        </row>
        <row r="16">
          <cell r="E16">
            <v>19134</v>
          </cell>
        </row>
        <row r="17">
          <cell r="E17">
            <v>52648.100000000006</v>
          </cell>
        </row>
        <row r="18">
          <cell r="E18">
            <v>1919.63</v>
          </cell>
        </row>
        <row r="19">
          <cell r="E19">
            <v>2221.67</v>
          </cell>
        </row>
        <row r="20">
          <cell r="E20">
            <v>9948.840000000002</v>
          </cell>
        </row>
        <row r="21">
          <cell r="E21">
            <v>600</v>
          </cell>
        </row>
        <row r="22">
          <cell r="E22">
            <v>3604.99</v>
          </cell>
        </row>
        <row r="23">
          <cell r="E23">
            <v>38.590000000000003</v>
          </cell>
        </row>
        <row r="24">
          <cell r="E24">
            <v>1332</v>
          </cell>
        </row>
        <row r="25">
          <cell r="E25">
            <v>2928.8300000000004</v>
          </cell>
        </row>
        <row r="26">
          <cell r="E26">
            <v>34985.03</v>
          </cell>
        </row>
        <row r="27">
          <cell r="E27">
            <v>4585.97</v>
          </cell>
        </row>
        <row r="28">
          <cell r="E28">
            <v>138701.76000000001</v>
          </cell>
        </row>
        <row r="30">
          <cell r="E30">
            <v>488886.08</v>
          </cell>
        </row>
        <row r="33">
          <cell r="E33">
            <v>23457.48</v>
          </cell>
        </row>
        <row r="34">
          <cell r="E34">
            <v>2627.9599999999996</v>
          </cell>
        </row>
        <row r="35">
          <cell r="E35">
            <v>0</v>
          </cell>
        </row>
      </sheetData>
      <sheetData sheetId="1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1 Unemployment"/>
      <sheetName val="T2 Employers"/>
      <sheetName val="T3 Pop Proj"/>
      <sheetName val="T4 Pop Char"/>
      <sheetName val="T5 Mode to Work"/>
      <sheetName val="T6 Commuter Flow"/>
      <sheetName val="Figs 7 &amp; 8"/>
      <sheetName val="T7 School"/>
      <sheetName val="T8 Res Dev"/>
      <sheetName val="T9 Pop Forecast"/>
      <sheetName val="T10 Model Demographics"/>
      <sheetName val="T11 Ex and Proj Traffic"/>
      <sheetName val="T12 Revenues"/>
      <sheetName val="T13 LTF History"/>
      <sheetName val="Fig10 LTF"/>
      <sheetName val="Fig10 LTF (2)"/>
      <sheetName val="T13 LTF History (2)"/>
      <sheetName val="T14 Cost Model"/>
      <sheetName val="Fig 11 Ann'l Ridership"/>
      <sheetName val="T16 Rdshp by Route &amp; Run"/>
      <sheetName val="T17 Monthly Rdshp "/>
      <sheetName val="T18 Fare Type by Route"/>
      <sheetName val="Fig12 One Way Pax per Hour"/>
      <sheetName val="Fig13 One Way Pax per Mile"/>
      <sheetName val="Fig14 Ann'l Op Costs"/>
      <sheetName val="Fig15 Cost per Pax Trip"/>
      <sheetName val="Fig16 Farebox Ratio"/>
      <sheetName val="Fig17 Subsidy per pax"/>
      <sheetName val="T19 Vehicle Fleet"/>
      <sheetName val="Intercity"/>
      <sheetName val="T20 Emp Demand"/>
      <sheetName val="T21 Non-Prog Demand"/>
      <sheetName val="T22 Prog Demand"/>
      <sheetName val="T23 Demand Summary"/>
      <sheetName val="T24 Chart"/>
      <sheetName val="T24 Long-Range Demand"/>
      <sheetName val="Fig 18 Demand"/>
      <sheetName val="ADA Demand"/>
      <sheetName val="T24 Alts"/>
      <sheetName val="F19 Route Platform"/>
      <sheetName val="T25 AltPerf"/>
      <sheetName val="F20 to F24 Alt Perf Graphs"/>
      <sheetName val="T26 to T30 Plan Tables"/>
      <sheetName val="LongRange"/>
      <sheetName val="FY03-04 Budget"/>
      <sheetName val="FY02-03 Ridership"/>
      <sheetName val="Route X ridership history"/>
      <sheetName val="Elasticity"/>
      <sheetName val="Ann'l Op Costs - Svc Alts"/>
      <sheetName val="Pop"/>
      <sheetName val="commute flow"/>
      <sheetName val="school"/>
      <sheetName val="Ridebytype"/>
      <sheetName val="productivity"/>
      <sheetName val="by Rte Run"/>
      <sheetName val="PxPerRun"/>
      <sheetName val="PxPerHr"/>
      <sheetName val="Commute from"/>
      <sheetName val="Commute to"/>
      <sheetName val="Hrs per Run"/>
      <sheetName val="Op Data"/>
      <sheetName val="Raw 2001 Caltrans Traffic Data"/>
      <sheetName val="Rancheria Px"/>
      <sheetName val="hist pop"/>
      <sheetName val=" Hist Pop"/>
      <sheetName val="T3 Traffic"/>
      <sheetName val="AMADOR_DEMOGRAPHICS_2000"/>
      <sheetName val="Amador_Demographics_2025"/>
      <sheetName val="T15 Ann'l Op Costs"/>
    </sheetNames>
    <sheetDataSet>
      <sheetData sheetId="0" refreshError="1"/>
      <sheetData sheetId="1" refreshError="1"/>
      <sheetData sheetId="2">
        <row r="15">
          <cell r="F15">
            <v>1.1820268368340603E-2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>
        <row r="42">
          <cell r="E42">
            <v>37.73433896473265</v>
          </cell>
        </row>
      </sheetData>
      <sheetData sheetId="18" refreshError="1"/>
      <sheetData sheetId="19">
        <row r="9">
          <cell r="K9">
            <v>28644</v>
          </cell>
        </row>
      </sheetData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>
        <row r="29">
          <cell r="C29">
            <v>221980</v>
          </cell>
        </row>
      </sheetData>
      <sheetData sheetId="45"/>
      <sheetData sheetId="46" refreshError="1"/>
      <sheetData sheetId="47">
        <row r="16">
          <cell r="L16">
            <v>30199</v>
          </cell>
        </row>
      </sheetData>
      <sheetData sheetId="48" refreshError="1"/>
      <sheetData sheetId="49">
        <row r="6">
          <cell r="J6">
            <v>35100</v>
          </cell>
        </row>
      </sheetData>
      <sheetData sheetId="50">
        <row r="31">
          <cell r="B31" t="str">
            <v xml:space="preserve">Amador </v>
          </cell>
        </row>
      </sheetData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>
        <row r="13">
          <cell r="B13">
            <v>30039</v>
          </cell>
        </row>
      </sheetData>
      <sheetData sheetId="64" refreshError="1"/>
      <sheetData sheetId="65" refreshError="1"/>
      <sheetData sheetId="66" refreshError="1"/>
      <sheetData sheetId="67"/>
      <sheetData sheetId="68">
        <row r="23">
          <cell r="R23">
            <v>7.8753004878877038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ULY"/>
      <sheetName val="AUGUST"/>
      <sheetName val="SEPTEMBER "/>
      <sheetName val="OCTOBER "/>
      <sheetName val="NOVEMBER"/>
      <sheetName val="DECEMBER "/>
      <sheetName val="JANUARY "/>
      <sheetName val="FEBRUARY "/>
      <sheetName val="MARCH "/>
      <sheetName val="APRIL "/>
      <sheetName val="MAY "/>
      <sheetName val="JUNE "/>
      <sheetName val="Chart1"/>
      <sheetName val="0607 ARTS Revenues"/>
      <sheetName val="LTF History"/>
      <sheetName val="T17 Cost Mode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4">
          <cell r="E4">
            <v>617674.54</v>
          </cell>
        </row>
        <row r="5">
          <cell r="E5">
            <v>73934.229999999981</v>
          </cell>
        </row>
        <row r="6">
          <cell r="E6">
            <v>6526.2499999999991</v>
          </cell>
        </row>
        <row r="7">
          <cell r="E7">
            <v>24205.639999999996</v>
          </cell>
        </row>
        <row r="8">
          <cell r="E8">
            <v>4299.88</v>
          </cell>
        </row>
        <row r="9">
          <cell r="E9">
            <v>6439.58</v>
          </cell>
        </row>
        <row r="10">
          <cell r="E10">
            <v>60541</v>
          </cell>
        </row>
        <row r="11">
          <cell r="E11">
            <v>5510</v>
          </cell>
        </row>
        <row r="15">
          <cell r="E15">
            <v>5735.6699999999992</v>
          </cell>
        </row>
        <row r="16">
          <cell r="E16">
            <v>1670.29</v>
          </cell>
        </row>
        <row r="17">
          <cell r="E17">
            <v>43225.760000000002</v>
          </cell>
        </row>
        <row r="19">
          <cell r="E19">
            <v>84219.650000000009</v>
          </cell>
        </row>
        <row r="20">
          <cell r="E20">
            <v>4902.7700000000004</v>
          </cell>
        </row>
        <row r="22">
          <cell r="E22">
            <v>31745.279999999999</v>
          </cell>
        </row>
        <row r="23">
          <cell r="E23">
            <v>6300</v>
          </cell>
        </row>
        <row r="24">
          <cell r="E24">
            <v>9366.369999999999</v>
          </cell>
        </row>
        <row r="25">
          <cell r="E25">
            <v>2903.95</v>
          </cell>
        </row>
        <row r="26">
          <cell r="E26">
            <v>1512.6</v>
          </cell>
        </row>
        <row r="27">
          <cell r="E27">
            <v>2764.5499999999997</v>
          </cell>
        </row>
        <row r="28">
          <cell r="E28">
            <v>94633.099999999991</v>
          </cell>
        </row>
        <row r="29">
          <cell r="E29">
            <v>11637.52</v>
          </cell>
        </row>
      </sheetData>
      <sheetData sheetId="12" refreshError="1"/>
      <sheetData sheetId="13"/>
      <sheetData sheetId="14">
        <row r="5">
          <cell r="D5" t="str">
            <v>ARTS</v>
          </cell>
        </row>
      </sheetData>
      <sheetData sheetId="15">
        <row r="37">
          <cell r="E37">
            <v>262339.15760000004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- Total"/>
      <sheetName val="Notes"/>
      <sheetName val="ESTA 08-09 Buget"/>
      <sheetName val="Actuals 07-08 Mar"/>
      <sheetName val="Revenue"/>
      <sheetName val="Overhead - Capital"/>
      <sheetName val="Staffing"/>
      <sheetName val="BishopDAR"/>
      <sheetName val="BishopFR"/>
      <sheetName val="Lone Pine"/>
      <sheetName val="NiteRider"/>
      <sheetName val="Tecopa"/>
      <sheetName val="MammothDAR"/>
      <sheetName val="MammothFR"/>
      <sheetName val="TOML-Contract"/>
      <sheetName val="CREST"/>
      <sheetName val="Walker"/>
      <sheetName val="Benton"/>
      <sheetName val="MammothExpress"/>
      <sheetName val="Sheet2"/>
      <sheetName val="Sheet3"/>
      <sheetName val="CREST Project"/>
      <sheetName val="Sheet1"/>
      <sheetName val="Sheet4"/>
    </sheetNames>
    <sheetDataSet>
      <sheetData sheetId="0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Question 1"/>
      <sheetName val="Question 2"/>
      <sheetName val="Question 3"/>
      <sheetName val="Question 4"/>
      <sheetName val="Question 5"/>
      <sheetName val="Question 6"/>
      <sheetName val="Question 7"/>
      <sheetName val="Question 8"/>
      <sheetName val="Question 9"/>
      <sheetName val="Question 10"/>
      <sheetName val="Question 11"/>
      <sheetName val="Question 12"/>
      <sheetName val="Question 13"/>
      <sheetName val="Question 14"/>
      <sheetName val="Question 15"/>
      <sheetName val="Question 16"/>
      <sheetName val="Question 17"/>
      <sheetName val="Question 18"/>
      <sheetName val="Question 19"/>
      <sheetName val="Question 20"/>
      <sheetName val="Question 21"/>
      <sheetName val="Question 22"/>
      <sheetName val="Question 23"/>
      <sheetName val="Question 24"/>
      <sheetName val="Question 25"/>
      <sheetName val="Question 26"/>
      <sheetName val="Question 27"/>
      <sheetName val="Question 28"/>
      <sheetName val="Question 29"/>
      <sheetName val="Question 30"/>
      <sheetName val="Agency Survey Results"/>
      <sheetName val="Agency Survey Results (4)"/>
      <sheetName val="Agency Survey Results (5)"/>
      <sheetName val="Agency Survey Results (3)"/>
      <sheetName val="Agency Survey Results (2)"/>
      <sheetName val="Agency Survey Results (6)"/>
    </sheetNames>
    <definedNames>
      <definedName name="delete" refersTo="#REF!" sheetId="30"/>
      <definedName name="newbie" refersTo="#REF!" sheetId="30"/>
      <definedName name="none" refersTo="#REF!" sheetId="30"/>
      <definedName name="pivot" refersTo="#REF!" sheetId="30"/>
      <definedName name="revised" refersTo="#REF!" sheetId="30"/>
      <definedName name="talk" refersTo="#REF!" sheetId="30"/>
    </definedNames>
    <sheetDataSet>
      <sheetData sheetId="0"/>
      <sheetData sheetId="1"/>
      <sheetData sheetId="2"/>
      <sheetData sheetId="3">
        <row r="4">
          <cell r="F4" t="str">
            <v>People with Mental Disabilities</v>
          </cell>
        </row>
      </sheetData>
      <sheetData sheetId="4"/>
      <sheetData sheetId="5">
        <row r="4">
          <cell r="F4" t="str">
            <v>City of Redding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  <sheetName val="AutoOpen Stub Data"/>
      <sheetName val="Customize Your Invoice"/>
      <sheetName val="Invoice"/>
      <sheetName val="Macros"/>
      <sheetName val="ATW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tats by Month"/>
      <sheetName val="T1 Monthly"/>
      <sheetName val="F2F3 RiderDOWHr"/>
      <sheetName val="T2 TripOD"/>
      <sheetName val="F4"/>
      <sheetName val="T3 VMT Calc"/>
      <sheetName val="F5F12 T4T8"/>
      <sheetName val="F13 T9T11"/>
      <sheetName val="T12 ComparisonSummary"/>
      <sheetName val="F14 2023 Productivity"/>
      <sheetName val="2023 CostPerPsgr"/>
      <sheetName val="T13 DAR Analysis"/>
      <sheetName val="F15 DAR Availability"/>
      <sheetName val="T14 FR Vs MT"/>
      <sheetName val="T15 ServedNotServedSum"/>
      <sheetName val="RevenueForecast"/>
      <sheetName val="ServiceScenarios"/>
      <sheetName val="F17 Scenarios"/>
      <sheetName val="PlacerTARTConnectData"/>
      <sheetName val="JanTruckeeConnectHourly"/>
      <sheetName val="FinAnalysisBuildingUp"/>
      <sheetName val="FinAnalysis of Avg Veh"/>
      <sheetName val="FRByStop"/>
      <sheetName val="FX 2022 Productivity"/>
      <sheetName val="FX Existing OpCostPsgr"/>
      <sheetName val="Truckee Transit Fleet"/>
      <sheetName val="TTARTMonthlySum"/>
      <sheetName val="FY21_22 Tracking Sheet"/>
      <sheetName val="Summary 2122 Truckee TART"/>
      <sheetName val="FX PlacerConnectBySeason"/>
      <sheetName val="TOTALS"/>
      <sheetName val="Data"/>
      <sheetName val="Operating Costs"/>
      <sheetName val="Cost per Passenger"/>
      <sheetName val="Transfers"/>
      <sheetName val="OTP"/>
      <sheetName val="Summary"/>
      <sheetName val="Vehicles"/>
      <sheetName val="NTTT"/>
      <sheetName val="DAR Revenue Tracking"/>
      <sheetName val="SLUD Revenue"/>
      <sheetName val="Reference"/>
      <sheetName val="Financial Analysis"/>
      <sheetName val="ComparisonSummary"/>
      <sheetName val="FX 2023 Productivity"/>
      <sheetName val="TX ServedNotServedSum"/>
      <sheetName val="DAR Analysi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/>
      <sheetData sheetId="12" refreshError="1"/>
      <sheetData sheetId="13"/>
      <sheetData sheetId="14"/>
      <sheetData sheetId="15"/>
      <sheetData sheetId="16"/>
      <sheetData sheetId="17" refreshError="1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/>
      <sheetData sheetId="26"/>
      <sheetData sheetId="27"/>
      <sheetData sheetId="28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>
        <row r="1">
          <cell r="A1" t="str">
            <v>Routes</v>
          </cell>
          <cell r="B1" t="str">
            <v>Employees</v>
          </cell>
          <cell r="C1" t="str">
            <v>Work Type</v>
          </cell>
          <cell r="E1" t="str">
            <v>Vehicles</v>
          </cell>
        </row>
        <row r="2">
          <cell r="A2" t="str">
            <v>Fixed 1</v>
          </cell>
          <cell r="B2" t="str">
            <v>Dave Kant</v>
          </cell>
          <cell r="C2" t="str">
            <v>TART</v>
          </cell>
          <cell r="E2">
            <v>925</v>
          </cell>
        </row>
        <row r="3">
          <cell r="A3" t="str">
            <v>North N</v>
          </cell>
          <cell r="C3" t="str">
            <v>ACRC</v>
          </cell>
          <cell r="E3">
            <v>926</v>
          </cell>
        </row>
        <row r="4">
          <cell r="A4" t="str">
            <v>Squaw N</v>
          </cell>
          <cell r="C4" t="str">
            <v>REC</v>
          </cell>
          <cell r="E4">
            <v>927</v>
          </cell>
        </row>
        <row r="5">
          <cell r="A5" t="str">
            <v>DAR 1</v>
          </cell>
          <cell r="C5" t="str">
            <v>TOT</v>
          </cell>
          <cell r="E5">
            <v>928</v>
          </cell>
        </row>
        <row r="6">
          <cell r="A6" t="str">
            <v>DAR 2</v>
          </cell>
          <cell r="C6" t="str">
            <v>Office</v>
          </cell>
          <cell r="E6">
            <v>929</v>
          </cell>
        </row>
        <row r="7">
          <cell r="A7" t="str">
            <v>DAR 3</v>
          </cell>
          <cell r="C7" t="str">
            <v>Hosp</v>
          </cell>
          <cell r="E7">
            <v>930</v>
          </cell>
        </row>
        <row r="8">
          <cell r="A8" t="str">
            <v>DAR 4</v>
          </cell>
          <cell r="C8" t="str">
            <v>AUX Billing</v>
          </cell>
          <cell r="E8">
            <v>931</v>
          </cell>
        </row>
        <row r="9">
          <cell r="A9" t="str">
            <v>DAR 5</v>
          </cell>
          <cell r="E9" t="str">
            <v>Subaru</v>
          </cell>
        </row>
        <row r="10">
          <cell r="A10" t="str">
            <v>ACRC</v>
          </cell>
        </row>
        <row r="11">
          <cell r="A11" t="str">
            <v>REC</v>
          </cell>
        </row>
        <row r="12">
          <cell r="A12" t="str">
            <v>TOT</v>
          </cell>
        </row>
        <row r="13">
          <cell r="A13" t="str">
            <v>Office</v>
          </cell>
        </row>
        <row r="14">
          <cell r="A14" t="str">
            <v>Hosp</v>
          </cell>
        </row>
        <row r="15">
          <cell r="A15" t="str">
            <v>AUX Billing</v>
          </cell>
        </row>
      </sheetData>
      <sheetData sheetId="42"/>
      <sheetData sheetId="43"/>
      <sheetData sheetId="44" refreshError="1"/>
      <sheetData sheetId="45"/>
      <sheetData sheetId="46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1 Total Trips"/>
      <sheetName val="T2"/>
      <sheetName val="Fig 1 Annual Ride"/>
      <sheetName val="Fig2  Ride by Month"/>
      <sheetName val="T3 Change of Ridership Season"/>
      <sheetName val="T4 Daily Ride by Season"/>
      <sheetName val="Fig 3 Daily Ride by Season"/>
      <sheetName val="Fig 4 Time of Day"/>
      <sheetName val="T5 Ride by Time of Day - Winter"/>
      <sheetName val="Fig5 Time of Day Winter"/>
      <sheetName val="T6 Ride by Time of Day - Summer"/>
      <sheetName val="Fig 6 Time of Day Summer"/>
      <sheetName val="T7 Ride by Time of Day - Off"/>
      <sheetName val="Fig7 Time of Day Off-Season"/>
      <sheetName val="T8 Greenhouse Gas Balance"/>
      <sheetName val="T9 Elasticity"/>
      <sheetName val="T10 Alt Impacts"/>
      <sheetName val="T11 Plan"/>
      <sheetName val="T Daily Ride - Append"/>
      <sheetName val="old to right"/>
      <sheetName val="Seasons"/>
      <sheetName val="Highlands Runs"/>
      <sheetName val="Vehicle Fleet"/>
      <sheetName val="On Off Aug 2000"/>
      <sheetName val="On Off Jan 18 2001"/>
      <sheetName val="Annual Ridership - Orig."/>
      <sheetName val=" T Daily Ridership 2005 (old)"/>
      <sheetName val="Average Daily Ridership - old"/>
      <sheetName val="Fig Daily Ridership- old"/>
      <sheetName val="T Total Daily 2005 -old"/>
      <sheetName val="2002 Cost Model"/>
      <sheetName val="T Annual Ridership"/>
      <sheetName val="T Ride by Season 2005"/>
      <sheetName val="Fig Ride by Season"/>
      <sheetName val="Alts"/>
      <sheetName val="Annual Emissions"/>
      <sheetName val="T2 Ridership by Month OL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CT Elasticity"/>
      <sheetName val="PCT HrMi Per Run"/>
      <sheetName val="PCT New Devel"/>
      <sheetName val="PCT Fare Increases"/>
      <sheetName val="PCT Stanford Ranch PX"/>
      <sheetName val="PCT Unincorp W SW Roseville"/>
      <sheetName val="PCT FR TOD"/>
      <sheetName val="Aub Px per Hr"/>
      <sheetName val="Auburn New Svc Area"/>
      <sheetName val="Auburn Deviations"/>
      <sheetName val="Auburn Station"/>
      <sheetName val="Auburn Elasticity"/>
      <sheetName val="Auburn 01-02 Summary"/>
      <sheetName val="Auburn Sat-Sun Svc"/>
      <sheetName val="Linc New Serv Area"/>
      <sheetName val="Lincoln Elasticity"/>
      <sheetName val="Linc Hrs &amp; Mi"/>
      <sheetName val="RVille CapCor Px"/>
      <sheetName val="RVille Fare Increases"/>
      <sheetName val="RVille Elasticity"/>
      <sheetName val="R'Ville SierCol to Gall"/>
      <sheetName val="RVille EDCTA Departures 2002"/>
      <sheetName val="RVille EDCTA Departures 2003"/>
      <sheetName val="RVille HrMi Per Run"/>
      <sheetName val="RVille Misc Calcs"/>
      <sheetName val="RVille Stnrdge &amp; Highlands Px"/>
      <sheetName val="RVille New Rt M Loop Px"/>
      <sheetName val="R'Ville to Sierra College"/>
      <sheetName val="R'Ville to Light Rail"/>
      <sheetName val="CTSA ALTS"/>
      <sheetName val="Lincoln ALTS"/>
      <sheetName val="Hwy 49 wk-sat"/>
      <sheetName val="Taylr wk-sat"/>
      <sheetName val="RockLoom wk-sat"/>
      <sheetName val="GB weekdays"/>
      <sheetName val="Allocations"/>
      <sheetName val="AppA"/>
      <sheetName val="1990 BG Demo"/>
      <sheetName val="T-B1 2000 Dem. Table"/>
      <sheetName val="T-B2 2005 Dem. Table"/>
      <sheetName val="T-B3 2010 Dem. Table"/>
      <sheetName val="T-C1A 49 NB On-Off"/>
      <sheetName val="T-C1B 49 SB On-Off"/>
      <sheetName val="T-C1C 49 Sat On-Off"/>
      <sheetName val="TC1-D Sierra College On-Off"/>
      <sheetName val="TC1-E Sierra College On-Off Sat"/>
      <sheetName val="T-C1F Aub-LR On-Off Tue1"/>
      <sheetName val="T-C1G Aub-LR On-Off Tues2"/>
      <sheetName val="T-C1H Aub-LR On-Off Thurs"/>
      <sheetName val="T-C1I Auburn-LR On-Off Sat"/>
      <sheetName val="T-C1J Colfax-Alta On-Off"/>
      <sheetName val="T-C1K Taylor(Tues) On-Off"/>
      <sheetName val="T-C1LTaylor(Thurs) On-Off"/>
      <sheetName val="T-C1M Lincoln On-Off"/>
      <sheetName val="T-C2A Auburn Red On-Off"/>
      <sheetName val="T-C2B Auburn-Blue On-Off"/>
      <sheetName val="T-C3A Linc 102 On-Off"/>
      <sheetName val="T-C3B Linc 202 On-Off"/>
      <sheetName val="T-C3C Linc 203 On-Off"/>
      <sheetName val="T-C4A R'Ville RtA (Wkdy) On-Off"/>
      <sheetName val="T-C4B R'Ville RtA (Sat) On-Off"/>
      <sheetName val="T-C4C R'Ville RtB (Wkdy) On-Off"/>
      <sheetName val="T-C4D R'Ville RtB (Sat) On-Off"/>
      <sheetName val="T-C4E R'Ville RtC (Tue) On-Off"/>
      <sheetName val="T-C4F R'Ville RtC (Wed) On-Off"/>
      <sheetName val="T-C4G R'Ville RtC (Thu) On-Off"/>
      <sheetName val="T-C4H R'Ville RtC (Sat) On-Off"/>
      <sheetName val="T-C4I R'Ville RtD (Tue) On-Off"/>
      <sheetName val="T-C4J R'Ville RtD (Wed) On-Off"/>
      <sheetName val="T-C4K R'Ville RtD (Sat) On-Off"/>
      <sheetName val="T-C4L R'Ville RtE (Wkdy) On-Off"/>
      <sheetName val="T-C4M R'Ville RtE (Sat) On-Off"/>
      <sheetName val="T-C4N R'Ville RtJ (Wkdy) On-Off"/>
      <sheetName val="T-C4O R'Ville RtJ (Sat) On-Off"/>
      <sheetName val="T-C4P R'Ville RtK (Wkdy) On-Off"/>
      <sheetName val="T-C4Q R'Ville RtK (Sat) On-Off"/>
      <sheetName val="T-C4R R'Ville RtM (Wkdy) On-Off"/>
      <sheetName val="T-C4S R'Ville RtM (Sat) On-Off"/>
      <sheetName val="T-C4T R'Ville RtR On-Off"/>
      <sheetName val="T-C4U R'Ville Com1 On-Off"/>
      <sheetName val="T-C4V R'Ville Com2 On-Off"/>
      <sheetName val="T-C4W R'Ville Com3 On-Off"/>
      <sheetName val="T-C4X R'Ville Com4 On-Off"/>
      <sheetName val="T-C4Y R'Ville Com5 On-Off"/>
      <sheetName val="T-C4Z R'Ville Com6 On-Off"/>
      <sheetName val="T-D1A 49 SB SkedAdher"/>
      <sheetName val="T-D1B 49 NB SkedAdher"/>
      <sheetName val="T-D1C NAuburn SkedAdher"/>
      <sheetName val="T-D1D Sierra College SkedAdher"/>
      <sheetName val="T-D1E Aub-LR(Tues1) SkedAdher"/>
      <sheetName val="T-D1F Aub-LR(Tues2) SkedAdher"/>
      <sheetName val="T-D1G Aub-LR(Thur) SkedAdher"/>
      <sheetName val="T-D1H Colfax-Alta SkedAdher"/>
      <sheetName val="T-D1I Taylor(Tues) SkedAdher"/>
      <sheetName val="T-D1J Taylor(Thur) SkedAdher"/>
      <sheetName val="T-D1K Lincoln SkedAdher"/>
      <sheetName val="T-D2A Auburn-Red SkedAdher"/>
      <sheetName val="T-D2B Aub-Blue SkedAdher"/>
      <sheetName val="T-D3A Linc 102 SkedAdher"/>
      <sheetName val="T-D3B Linc 202 SkedAdher"/>
      <sheetName val="T-D3C Linc 203 SkedAdher"/>
      <sheetName val="T-D4A R'Ville RtA SkedAd"/>
      <sheetName val="T-D4B R'Ville RtB SkedAd"/>
      <sheetName val="T-D4C R'Ville RtC SkedAd"/>
      <sheetName val="T-D4D R'Ville RtC-Rev SkedAd"/>
      <sheetName val="T-D4E R'Ville RtD SkedAd"/>
      <sheetName val="T-D4F R'Ville RtDRev SkedAd"/>
      <sheetName val="T-D4G R'Ville RtE SkedAd"/>
      <sheetName val="T-D4H R'Ville RtJ SkedAd"/>
      <sheetName val="T-D4I R'Ville RtJRev SkedAd"/>
      <sheetName val="T-D4J R'Ville RtK SkedAd"/>
      <sheetName val="T-D4K R'Ville RtKRev SkedAd"/>
      <sheetName val="T-D4L R'Ville RtM SkedAd"/>
      <sheetName val="T-D4M R'Ville RtR SkedAd"/>
      <sheetName val="T-D4N R'Ville Com1 SkedAd"/>
      <sheetName val="T-D4O R'Ville Com2 SkedAd"/>
      <sheetName val="T-D4P R'Ville Com3 SkedAd"/>
      <sheetName val="T-D4R R'Ville Com4 SkedAd"/>
      <sheetName val="T-D4S R'Ville Com5 SkedAd"/>
      <sheetName val="T-D4T R'Ville Com6 SkedAd"/>
      <sheetName val="SF3 Part 1"/>
      <sheetName val="SF1 Part 1"/>
      <sheetName val="2000 Nationwide MobLtd 2"/>
      <sheetName val="2000sacog"/>
      <sheetName val="2005"/>
      <sheetName val="2010"/>
      <sheetName val="2020"/>
      <sheetName val="sqmile~1"/>
      <sheetName val="PCT Costs"/>
      <sheetName val="R'Ville Peak FR"/>
      <sheetName val="R'Ville Peak Commuter"/>
      <sheetName val="DAR General Fares"/>
      <sheetName val="FR General Fares "/>
      <sheetName val="PCT AnnFare"/>
      <sheetName val="R'Ville Existing Rts"/>
      <sheetName val="CTSA ride summary"/>
      <sheetName val="Hwy 49 all"/>
      <sheetName val="Taylr all"/>
      <sheetName val="RockLoom all"/>
      <sheetName val="Route Highway 49 raw data"/>
      <sheetName val="Route Highway 49 raw data (2)"/>
      <sheetName val="Highway 49 raw data (sat)"/>
      <sheetName val="Sierra College raw data"/>
      <sheetName val="Sierra College raw data (2)"/>
      <sheetName val="Sierra College raw data (sat)"/>
      <sheetName val="Auburn-Light Rail raw data"/>
      <sheetName val="Auburn-Light Rail raw data (2)"/>
      <sheetName val="Auburn-LR raw data(sat)"/>
      <sheetName val="PCT Colfax-Alta AM raw data"/>
      <sheetName val="PCT Colfax-Alta PM raw data"/>
      <sheetName val="PCT Taylor (Tues) raw data"/>
      <sheetName val="PCT Taylor (Thurs) raw data"/>
      <sheetName val="PCT Lincoln raw data"/>
      <sheetName val="Auburn-Red raw data"/>
      <sheetName val="Auburn-Blue raw data"/>
      <sheetName val="Linc 102 730 raw data"/>
      <sheetName val="Linc 202 945 raw data"/>
      <sheetName val="Linc 203 845 raw data"/>
      <sheetName val="R'Ville RtA (Wkdy) raw data"/>
      <sheetName val="R'Ville Rte A (Sat) raw data"/>
      <sheetName val="R'Ville RtB (Wkdy) raw data"/>
      <sheetName val="R'Ville RtB (Sat) raw data"/>
      <sheetName val="R'Ville RtC (Wkdy) raw data"/>
      <sheetName val="R'Ville RtC (Wkdy) raw data 2"/>
      <sheetName val="R'Ville RtC (Sat) raw data"/>
      <sheetName val="R'Ville RtD (Wkdy) raw data"/>
      <sheetName val="R'Ville RtD (Sat) raw data"/>
      <sheetName val="R'Ville RtE (Wkdy) raw data"/>
      <sheetName val="R'Ville RtE (Sat) raw data"/>
      <sheetName val="R'Ville RtJ (Wkdy) raw data"/>
      <sheetName val="R'Ville RtJ (Sat) raw data"/>
      <sheetName val="R'Ville RtK (Wkdy) raw data"/>
      <sheetName val="R'Ville RtK (Sat) raw data"/>
      <sheetName val="R'Ville RtM (Wkdy) raw data"/>
      <sheetName val="R'Ville RtM (Sat) raw data"/>
      <sheetName val="R'Ville RtR raw data"/>
      <sheetName val="R'Ville Com1&amp;6 raw data"/>
      <sheetName val="R'Ville Com2 raw data"/>
      <sheetName val="R'Ville Com3 raw data"/>
      <sheetName val="R'Ville Com4 raw data"/>
      <sheetName val="R'Ville Com5 raw data"/>
      <sheetName val="Comm Rdrshp-Rte"/>
      <sheetName val="Aub PxMo"/>
      <sheetName val="Sum. Demand"/>
      <sheetName val="Mode Split"/>
      <sheetName val="Eld. Demand"/>
      <sheetName val="Emp. Demand"/>
      <sheetName val="Emp. Dem.no BG"/>
      <sheetName val="SumCostAll"/>
      <sheetName val="Dont Use 1"/>
      <sheetName val="Dont Use 2"/>
      <sheetName val="Dont Use 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>
        <row r="1">
          <cell r="A1" t="str">
            <v>AREA_IN_SQ</v>
          </cell>
          <cell r="B1" t="str">
            <v>BLOCK_GROU</v>
          </cell>
        </row>
        <row r="2">
          <cell r="A2">
            <v>2.65</v>
          </cell>
          <cell r="B2" t="str">
            <v>060610201011</v>
          </cell>
        </row>
        <row r="3">
          <cell r="A3">
            <v>7.51</v>
          </cell>
          <cell r="B3" t="str">
            <v>060610201012</v>
          </cell>
        </row>
        <row r="4">
          <cell r="A4">
            <v>0.32</v>
          </cell>
          <cell r="B4" t="str">
            <v>060610201013</v>
          </cell>
        </row>
        <row r="5">
          <cell r="A5">
            <v>21.06</v>
          </cell>
          <cell r="B5" t="str">
            <v>060610201021</v>
          </cell>
        </row>
        <row r="6">
          <cell r="A6">
            <v>1.68</v>
          </cell>
          <cell r="B6" t="str">
            <v>060610201022</v>
          </cell>
        </row>
        <row r="7">
          <cell r="A7">
            <v>0.34</v>
          </cell>
          <cell r="B7" t="str">
            <v>060610201023</v>
          </cell>
        </row>
        <row r="8">
          <cell r="A8">
            <v>8.0299999999999994</v>
          </cell>
          <cell r="B8" t="str">
            <v>060610201031</v>
          </cell>
        </row>
        <row r="9">
          <cell r="A9">
            <v>0.74</v>
          </cell>
          <cell r="B9" t="str">
            <v>060610201032</v>
          </cell>
        </row>
        <row r="10">
          <cell r="A10">
            <v>0.3</v>
          </cell>
          <cell r="B10" t="str">
            <v>060610201033</v>
          </cell>
        </row>
        <row r="11">
          <cell r="A11">
            <v>7.31</v>
          </cell>
          <cell r="B11" t="str">
            <v>060610201041</v>
          </cell>
        </row>
        <row r="12">
          <cell r="A12">
            <v>0.38</v>
          </cell>
          <cell r="B12" t="str">
            <v>060610201042</v>
          </cell>
        </row>
        <row r="13">
          <cell r="A13">
            <v>0.44</v>
          </cell>
          <cell r="B13" t="str">
            <v>060610201043</v>
          </cell>
        </row>
        <row r="14">
          <cell r="A14">
            <v>0.16</v>
          </cell>
          <cell r="B14" t="str">
            <v>060610201044</v>
          </cell>
        </row>
        <row r="15">
          <cell r="A15">
            <v>0.44</v>
          </cell>
          <cell r="B15" t="str">
            <v>060610201045</v>
          </cell>
        </row>
        <row r="16">
          <cell r="A16">
            <v>2.74</v>
          </cell>
          <cell r="B16" t="str">
            <v>060610201051</v>
          </cell>
        </row>
        <row r="17">
          <cell r="A17">
            <v>6.93</v>
          </cell>
          <cell r="B17" t="str">
            <v>060610201052</v>
          </cell>
        </row>
        <row r="18">
          <cell r="A18">
            <v>0.24</v>
          </cell>
          <cell r="B18" t="str">
            <v>060610201053</v>
          </cell>
        </row>
        <row r="19">
          <cell r="A19">
            <v>0.78</v>
          </cell>
          <cell r="B19" t="str">
            <v>060610201054</v>
          </cell>
        </row>
        <row r="20">
          <cell r="A20">
            <v>1.79</v>
          </cell>
          <cell r="B20" t="str">
            <v>060610201061</v>
          </cell>
        </row>
        <row r="21">
          <cell r="A21">
            <v>0.56000000000000005</v>
          </cell>
          <cell r="B21" t="str">
            <v>060610201062</v>
          </cell>
        </row>
        <row r="22">
          <cell r="A22">
            <v>6.2</v>
          </cell>
          <cell r="B22" t="str">
            <v>060610201063</v>
          </cell>
        </row>
        <row r="23">
          <cell r="A23">
            <v>0.5</v>
          </cell>
          <cell r="B23" t="str">
            <v>060610201071</v>
          </cell>
        </row>
        <row r="24">
          <cell r="A24">
            <v>0.22</v>
          </cell>
          <cell r="B24" t="str">
            <v>060610201072</v>
          </cell>
        </row>
        <row r="25">
          <cell r="A25">
            <v>0.13</v>
          </cell>
          <cell r="B25" t="str">
            <v>060610201073</v>
          </cell>
        </row>
        <row r="26">
          <cell r="A26">
            <v>2.0499999999999998</v>
          </cell>
          <cell r="B26" t="str">
            <v>060610201074</v>
          </cell>
        </row>
        <row r="27">
          <cell r="A27">
            <v>38.49</v>
          </cell>
          <cell r="B27" t="str">
            <v>060610202001</v>
          </cell>
        </row>
        <row r="28">
          <cell r="A28">
            <v>5.1100000000000003</v>
          </cell>
          <cell r="B28" t="str">
            <v>060610202002</v>
          </cell>
        </row>
        <row r="29">
          <cell r="A29">
            <v>227.94</v>
          </cell>
          <cell r="B29" t="str">
            <v>060610202003</v>
          </cell>
        </row>
        <row r="30">
          <cell r="A30">
            <v>1.35</v>
          </cell>
          <cell r="B30" t="str">
            <v>060610202004</v>
          </cell>
        </row>
        <row r="31">
          <cell r="A31">
            <v>287.74</v>
          </cell>
          <cell r="B31" t="str">
            <v>060610202005</v>
          </cell>
        </row>
        <row r="32">
          <cell r="A32">
            <v>0.99</v>
          </cell>
          <cell r="B32" t="str">
            <v>060610203001</v>
          </cell>
        </row>
        <row r="33">
          <cell r="A33">
            <v>1.1399999999999999</v>
          </cell>
          <cell r="B33" t="str">
            <v>060610203002</v>
          </cell>
        </row>
        <row r="34">
          <cell r="A34">
            <v>3.07</v>
          </cell>
          <cell r="B34" t="str">
            <v>060610204001</v>
          </cell>
        </row>
        <row r="35">
          <cell r="A35">
            <v>0.83</v>
          </cell>
          <cell r="B35" t="str">
            <v>060610204002</v>
          </cell>
        </row>
        <row r="36">
          <cell r="A36">
            <v>0.17</v>
          </cell>
          <cell r="B36" t="str">
            <v>060610204003</v>
          </cell>
        </row>
        <row r="37">
          <cell r="A37">
            <v>4.8899999999999997</v>
          </cell>
          <cell r="B37" t="str">
            <v>060610205001</v>
          </cell>
        </row>
        <row r="38">
          <cell r="A38">
            <v>5.2</v>
          </cell>
          <cell r="B38" t="str">
            <v>060610205002</v>
          </cell>
        </row>
        <row r="39">
          <cell r="A39">
            <v>1</v>
          </cell>
          <cell r="B39" t="str">
            <v>060610205003</v>
          </cell>
        </row>
        <row r="40">
          <cell r="A40">
            <v>3.86</v>
          </cell>
          <cell r="B40" t="str">
            <v>060610205004</v>
          </cell>
        </row>
        <row r="41">
          <cell r="A41">
            <v>5.76</v>
          </cell>
          <cell r="B41" t="str">
            <v>060610205005</v>
          </cell>
        </row>
        <row r="42">
          <cell r="A42">
            <v>0.98</v>
          </cell>
          <cell r="B42" t="str">
            <v>060610206011</v>
          </cell>
        </row>
        <row r="43">
          <cell r="A43">
            <v>8.24</v>
          </cell>
          <cell r="B43" t="str">
            <v>060610206012</v>
          </cell>
        </row>
        <row r="44">
          <cell r="A44">
            <v>0.47</v>
          </cell>
          <cell r="B44" t="str">
            <v>060610206013</v>
          </cell>
        </row>
        <row r="45">
          <cell r="A45">
            <v>4.4800000000000004</v>
          </cell>
          <cell r="B45" t="str">
            <v>060610206021</v>
          </cell>
        </row>
        <row r="46">
          <cell r="A46">
            <v>2.0499999999999998</v>
          </cell>
          <cell r="B46" t="str">
            <v>060610206022</v>
          </cell>
        </row>
        <row r="47">
          <cell r="A47">
            <v>1.72</v>
          </cell>
          <cell r="B47" t="str">
            <v>060610206023</v>
          </cell>
        </row>
        <row r="48">
          <cell r="A48">
            <v>5.84</v>
          </cell>
          <cell r="B48" t="str">
            <v>060610206024</v>
          </cell>
        </row>
        <row r="49">
          <cell r="A49">
            <v>4.63</v>
          </cell>
          <cell r="B49" t="str">
            <v>060610206025</v>
          </cell>
        </row>
        <row r="50">
          <cell r="A50">
            <v>1.26</v>
          </cell>
          <cell r="B50" t="str">
            <v>060610206041</v>
          </cell>
        </row>
        <row r="51">
          <cell r="A51">
            <v>1.1299999999999999</v>
          </cell>
          <cell r="B51" t="str">
            <v>060610206042</v>
          </cell>
        </row>
        <row r="52">
          <cell r="A52">
            <v>1.26</v>
          </cell>
          <cell r="B52" t="str">
            <v>060610206043</v>
          </cell>
        </row>
        <row r="53">
          <cell r="A53">
            <v>0.82</v>
          </cell>
          <cell r="B53" t="str">
            <v>060610206044</v>
          </cell>
        </row>
        <row r="54">
          <cell r="A54">
            <v>2.2999999999999998</v>
          </cell>
          <cell r="B54" t="str">
            <v>060610206051</v>
          </cell>
        </row>
        <row r="55">
          <cell r="A55">
            <v>1.68</v>
          </cell>
          <cell r="B55" t="str">
            <v>060610206052</v>
          </cell>
        </row>
        <row r="56">
          <cell r="A56">
            <v>1.57</v>
          </cell>
          <cell r="B56" t="str">
            <v>060610206061</v>
          </cell>
        </row>
        <row r="57">
          <cell r="A57">
            <v>0.33</v>
          </cell>
          <cell r="B57" t="str">
            <v>060610207021</v>
          </cell>
        </row>
        <row r="58">
          <cell r="A58">
            <v>0.27</v>
          </cell>
          <cell r="B58" t="str">
            <v>060610207022</v>
          </cell>
        </row>
        <row r="59">
          <cell r="A59">
            <v>0.65</v>
          </cell>
          <cell r="B59" t="str">
            <v>060610207023</v>
          </cell>
        </row>
        <row r="60">
          <cell r="A60">
            <v>0.55000000000000004</v>
          </cell>
          <cell r="B60" t="str">
            <v>060610207031</v>
          </cell>
        </row>
        <row r="61">
          <cell r="A61">
            <v>0.55000000000000004</v>
          </cell>
          <cell r="B61" t="str">
            <v>060610207032</v>
          </cell>
        </row>
        <row r="62">
          <cell r="A62">
            <v>0.38</v>
          </cell>
          <cell r="B62" t="str">
            <v>060610207033</v>
          </cell>
        </row>
        <row r="63">
          <cell r="A63">
            <v>3.69</v>
          </cell>
          <cell r="B63" t="str">
            <v>060610207041</v>
          </cell>
        </row>
        <row r="64">
          <cell r="A64">
            <v>1.21</v>
          </cell>
          <cell r="B64" t="str">
            <v>060610207051</v>
          </cell>
        </row>
        <row r="65">
          <cell r="A65">
            <v>0.45</v>
          </cell>
          <cell r="B65" t="str">
            <v>060610207052</v>
          </cell>
        </row>
        <row r="66">
          <cell r="A66">
            <v>0.83</v>
          </cell>
          <cell r="B66" t="str">
            <v>060610207053</v>
          </cell>
        </row>
        <row r="67">
          <cell r="A67">
            <v>0.49</v>
          </cell>
          <cell r="B67" t="str">
            <v>060610208001</v>
          </cell>
        </row>
        <row r="68">
          <cell r="A68">
            <v>0.45</v>
          </cell>
          <cell r="B68" t="str">
            <v>060610208002</v>
          </cell>
        </row>
        <row r="69">
          <cell r="A69">
            <v>0.76</v>
          </cell>
          <cell r="B69" t="str">
            <v>060610208003</v>
          </cell>
        </row>
        <row r="70">
          <cell r="A70">
            <v>0.13</v>
          </cell>
          <cell r="B70" t="str">
            <v>060610209011</v>
          </cell>
        </row>
        <row r="71">
          <cell r="A71">
            <v>0.54</v>
          </cell>
          <cell r="B71" t="str">
            <v>060610209012</v>
          </cell>
        </row>
        <row r="72">
          <cell r="A72">
            <v>5.19</v>
          </cell>
          <cell r="B72" t="str">
            <v>060610209021</v>
          </cell>
        </row>
        <row r="73">
          <cell r="A73">
            <v>3.07</v>
          </cell>
          <cell r="B73" t="str">
            <v>060610209022</v>
          </cell>
        </row>
        <row r="74">
          <cell r="A74">
            <v>0.41</v>
          </cell>
          <cell r="B74" t="str">
            <v>060610209023</v>
          </cell>
        </row>
        <row r="75">
          <cell r="A75">
            <v>0.54</v>
          </cell>
          <cell r="B75" t="str">
            <v>060610209024</v>
          </cell>
        </row>
        <row r="76">
          <cell r="A76">
            <v>0.27</v>
          </cell>
          <cell r="B76" t="str">
            <v>060610210031</v>
          </cell>
        </row>
        <row r="77">
          <cell r="A77">
            <v>0.21</v>
          </cell>
          <cell r="B77" t="str">
            <v>060610210032</v>
          </cell>
        </row>
        <row r="78">
          <cell r="A78">
            <v>0.54</v>
          </cell>
          <cell r="B78" t="str">
            <v>060610210033</v>
          </cell>
        </row>
        <row r="79">
          <cell r="A79">
            <v>1.82</v>
          </cell>
          <cell r="B79" t="str">
            <v>060610210034</v>
          </cell>
        </row>
        <row r="80">
          <cell r="A80">
            <v>3.53</v>
          </cell>
          <cell r="B80" t="str">
            <v>060610210041</v>
          </cell>
        </row>
        <row r="81">
          <cell r="A81">
            <v>4.88</v>
          </cell>
          <cell r="B81" t="str">
            <v>060610210051</v>
          </cell>
        </row>
        <row r="82">
          <cell r="A82">
            <v>0.75</v>
          </cell>
          <cell r="B82" t="str">
            <v>060610210061</v>
          </cell>
        </row>
        <row r="83">
          <cell r="A83">
            <v>1.1200000000000001</v>
          </cell>
          <cell r="B83" t="str">
            <v>060610210062</v>
          </cell>
        </row>
        <row r="84">
          <cell r="A84">
            <v>0.43</v>
          </cell>
          <cell r="B84" t="str">
            <v>060610210071</v>
          </cell>
        </row>
        <row r="85">
          <cell r="A85">
            <v>2.35</v>
          </cell>
          <cell r="B85" t="str">
            <v>060610210072</v>
          </cell>
        </row>
        <row r="86">
          <cell r="A86">
            <v>0.42</v>
          </cell>
          <cell r="B86" t="str">
            <v>060610210081</v>
          </cell>
        </row>
        <row r="87">
          <cell r="A87">
            <v>0.81</v>
          </cell>
          <cell r="B87" t="str">
            <v>060610210082</v>
          </cell>
        </row>
        <row r="88">
          <cell r="A88">
            <v>1.0900000000000001</v>
          </cell>
          <cell r="B88" t="str">
            <v>060610211031</v>
          </cell>
        </row>
        <row r="89">
          <cell r="A89">
            <v>0.11</v>
          </cell>
          <cell r="B89" t="str">
            <v>060610211032</v>
          </cell>
        </row>
        <row r="90">
          <cell r="A90">
            <v>0.56000000000000005</v>
          </cell>
          <cell r="B90" t="str">
            <v>060610211033</v>
          </cell>
        </row>
        <row r="91">
          <cell r="A91">
            <v>0.18</v>
          </cell>
          <cell r="B91" t="str">
            <v>060610211034</v>
          </cell>
        </row>
        <row r="92">
          <cell r="A92">
            <v>5.78</v>
          </cell>
          <cell r="B92" t="str">
            <v>060610211041</v>
          </cell>
        </row>
        <row r="93">
          <cell r="A93">
            <v>1.06</v>
          </cell>
          <cell r="B93" t="str">
            <v>060610211051</v>
          </cell>
        </row>
        <row r="94">
          <cell r="A94">
            <v>0.74</v>
          </cell>
          <cell r="B94" t="str">
            <v>060610211061</v>
          </cell>
        </row>
        <row r="95">
          <cell r="A95">
            <v>0.74</v>
          </cell>
          <cell r="B95" t="str">
            <v>060610211071</v>
          </cell>
        </row>
        <row r="96">
          <cell r="A96">
            <v>3</v>
          </cell>
          <cell r="B96" t="str">
            <v>060610211072</v>
          </cell>
        </row>
        <row r="97">
          <cell r="A97">
            <v>0.27</v>
          </cell>
          <cell r="B97" t="str">
            <v>060610211081</v>
          </cell>
        </row>
        <row r="98">
          <cell r="A98">
            <v>0.41</v>
          </cell>
          <cell r="B98" t="str">
            <v>060610211082</v>
          </cell>
        </row>
        <row r="99">
          <cell r="A99">
            <v>2.12</v>
          </cell>
          <cell r="B99" t="str">
            <v>060610211091</v>
          </cell>
        </row>
        <row r="100">
          <cell r="A100">
            <v>9.51</v>
          </cell>
          <cell r="B100" t="str">
            <v>060610212001</v>
          </cell>
        </row>
        <row r="101">
          <cell r="A101">
            <v>3.86</v>
          </cell>
          <cell r="B101" t="str">
            <v>060610212002</v>
          </cell>
        </row>
        <row r="102">
          <cell r="A102">
            <v>1.39</v>
          </cell>
          <cell r="B102" t="str">
            <v>060610212003</v>
          </cell>
        </row>
        <row r="103">
          <cell r="A103">
            <v>2.61</v>
          </cell>
          <cell r="B103" t="str">
            <v>060610212004</v>
          </cell>
        </row>
        <row r="104">
          <cell r="A104">
            <v>0.89</v>
          </cell>
          <cell r="B104" t="str">
            <v>060610212005</v>
          </cell>
        </row>
        <row r="105">
          <cell r="A105">
            <v>45.98</v>
          </cell>
          <cell r="B105" t="str">
            <v>060610213011</v>
          </cell>
        </row>
        <row r="106">
          <cell r="A106">
            <v>67.400000000000006</v>
          </cell>
          <cell r="B106" t="str">
            <v>060610213012</v>
          </cell>
        </row>
        <row r="107">
          <cell r="A107">
            <v>16.79</v>
          </cell>
          <cell r="B107" t="str">
            <v>060610213031</v>
          </cell>
        </row>
        <row r="108">
          <cell r="A108">
            <v>38.5</v>
          </cell>
          <cell r="B108" t="str">
            <v>060610213041</v>
          </cell>
        </row>
        <row r="109">
          <cell r="A109">
            <v>19.36</v>
          </cell>
          <cell r="B109" t="str">
            <v>060610213042</v>
          </cell>
        </row>
        <row r="110">
          <cell r="A110">
            <v>8.77</v>
          </cell>
          <cell r="B110" t="str">
            <v>060610213043</v>
          </cell>
        </row>
        <row r="111">
          <cell r="A111">
            <v>10.87</v>
          </cell>
          <cell r="B111" t="str">
            <v>060610213044</v>
          </cell>
        </row>
        <row r="112">
          <cell r="A112">
            <v>0.62</v>
          </cell>
          <cell r="B112" t="str">
            <v>060610214011</v>
          </cell>
        </row>
        <row r="113">
          <cell r="A113">
            <v>0.27</v>
          </cell>
          <cell r="B113" t="str">
            <v>060610214012</v>
          </cell>
        </row>
        <row r="114">
          <cell r="A114">
            <v>0.19</v>
          </cell>
          <cell r="B114" t="str">
            <v>060610214013</v>
          </cell>
        </row>
        <row r="115">
          <cell r="A115">
            <v>0.26</v>
          </cell>
          <cell r="B115" t="str">
            <v>060610214021</v>
          </cell>
        </row>
        <row r="116">
          <cell r="A116">
            <v>0.24</v>
          </cell>
          <cell r="B116" t="str">
            <v>060610214022</v>
          </cell>
        </row>
        <row r="117">
          <cell r="A117">
            <v>0.42</v>
          </cell>
          <cell r="B117" t="str">
            <v>060610214023</v>
          </cell>
        </row>
        <row r="118">
          <cell r="A118">
            <v>1.68</v>
          </cell>
          <cell r="B118" t="str">
            <v>060610214024</v>
          </cell>
        </row>
        <row r="119">
          <cell r="A119">
            <v>4.33</v>
          </cell>
          <cell r="B119" t="str">
            <v>060610215011</v>
          </cell>
        </row>
        <row r="120">
          <cell r="A120">
            <v>2.56</v>
          </cell>
          <cell r="B120" t="str">
            <v>060610215012</v>
          </cell>
        </row>
        <row r="121">
          <cell r="A121">
            <v>3.84</v>
          </cell>
          <cell r="B121" t="str">
            <v>060610215013</v>
          </cell>
        </row>
        <row r="122">
          <cell r="A122">
            <v>0.99</v>
          </cell>
          <cell r="B122" t="str">
            <v>060610215021</v>
          </cell>
        </row>
        <row r="123">
          <cell r="A123">
            <v>1.83</v>
          </cell>
          <cell r="B123" t="str">
            <v>060610215022</v>
          </cell>
        </row>
        <row r="124">
          <cell r="A124">
            <v>25.41</v>
          </cell>
          <cell r="B124" t="str">
            <v>060610216001</v>
          </cell>
        </row>
        <row r="125">
          <cell r="A125">
            <v>11.68</v>
          </cell>
          <cell r="B125" t="str">
            <v>060610216002</v>
          </cell>
        </row>
        <row r="126">
          <cell r="A126">
            <v>1.1299999999999999</v>
          </cell>
          <cell r="B126" t="str">
            <v>060610216003</v>
          </cell>
        </row>
        <row r="127">
          <cell r="A127">
            <v>0.05</v>
          </cell>
          <cell r="B127" t="str">
            <v>060610216004</v>
          </cell>
        </row>
        <row r="128">
          <cell r="A128">
            <v>4.75</v>
          </cell>
          <cell r="B128" t="str">
            <v>060610218011</v>
          </cell>
        </row>
        <row r="129">
          <cell r="A129">
            <v>3.85</v>
          </cell>
          <cell r="B129" t="str">
            <v>060610218012</v>
          </cell>
        </row>
        <row r="130">
          <cell r="A130">
            <v>1.53</v>
          </cell>
          <cell r="B130" t="str">
            <v>060610218013</v>
          </cell>
        </row>
        <row r="131">
          <cell r="A131">
            <v>2.82</v>
          </cell>
          <cell r="B131" t="str">
            <v>060610218014</v>
          </cell>
        </row>
        <row r="132">
          <cell r="A132">
            <v>2.92</v>
          </cell>
          <cell r="B132" t="str">
            <v>060610218021</v>
          </cell>
        </row>
        <row r="133">
          <cell r="A133">
            <v>0.84</v>
          </cell>
          <cell r="B133" t="str">
            <v>060610218022</v>
          </cell>
        </row>
        <row r="134">
          <cell r="A134">
            <v>0.8</v>
          </cell>
          <cell r="B134" t="str">
            <v>060610218023</v>
          </cell>
        </row>
        <row r="135">
          <cell r="A135">
            <v>3.57</v>
          </cell>
          <cell r="B135" t="str">
            <v>060610218024</v>
          </cell>
        </row>
        <row r="136">
          <cell r="A136">
            <v>3.69</v>
          </cell>
          <cell r="B136" t="str">
            <v>060610219011</v>
          </cell>
        </row>
        <row r="137">
          <cell r="A137">
            <v>12.54</v>
          </cell>
          <cell r="B137" t="str">
            <v>060610219012</v>
          </cell>
        </row>
        <row r="138">
          <cell r="A138">
            <v>2.96</v>
          </cell>
          <cell r="B138" t="str">
            <v>060610219021</v>
          </cell>
        </row>
        <row r="139">
          <cell r="A139">
            <v>6.19</v>
          </cell>
          <cell r="B139" t="str">
            <v>060610219022</v>
          </cell>
        </row>
        <row r="140">
          <cell r="A140">
            <v>0.37</v>
          </cell>
          <cell r="B140" t="str">
            <v>060610219023</v>
          </cell>
        </row>
        <row r="141">
          <cell r="A141">
            <v>12.67</v>
          </cell>
          <cell r="B141" t="str">
            <v>060610220011</v>
          </cell>
        </row>
        <row r="142">
          <cell r="A142">
            <v>23.37</v>
          </cell>
          <cell r="B142" t="str">
            <v>060610220012</v>
          </cell>
        </row>
        <row r="143">
          <cell r="A143">
            <v>144.49</v>
          </cell>
          <cell r="B143" t="str">
            <v>060610220013</v>
          </cell>
        </row>
        <row r="144">
          <cell r="A144">
            <v>19.05</v>
          </cell>
          <cell r="B144" t="str">
            <v>060610220014</v>
          </cell>
        </row>
        <row r="145">
          <cell r="A145">
            <v>73.180000000000007</v>
          </cell>
          <cell r="B145" t="str">
            <v>060610220015</v>
          </cell>
        </row>
        <row r="146">
          <cell r="A146">
            <v>24.58</v>
          </cell>
          <cell r="B146" t="str">
            <v>060610220016</v>
          </cell>
        </row>
        <row r="147">
          <cell r="A147">
            <v>2.09</v>
          </cell>
          <cell r="B147" t="str">
            <v>060610220021</v>
          </cell>
        </row>
        <row r="148">
          <cell r="A148">
            <v>7.86</v>
          </cell>
          <cell r="B148" t="str">
            <v>060610220022</v>
          </cell>
        </row>
        <row r="149">
          <cell r="A149">
            <v>15.26</v>
          </cell>
          <cell r="B149" t="str">
            <v>060610220023</v>
          </cell>
        </row>
      </sheetData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15 Cycle 1"/>
      <sheetName val="2016 Cycle 2"/>
      <sheetName val="2018  Cycle 3"/>
      <sheetName val="2020 Cycle 4"/>
      <sheetName val="2022 Cycle 5"/>
      <sheetName val="2023 Cycle 6"/>
      <sheetName val="Grade Separation 2023"/>
      <sheetName val="Grade Separation 2023 DEC"/>
      <sheetName val="AB 180"/>
      <sheetName val="2023 Cycle 6 Existing Projects "/>
      <sheetName val="CashFlow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sitions"/>
      <sheetName val="ExHelp"/>
      <sheetName val="vanpool"/>
      <sheetName val="Prchsd Svcs#2555"/>
      <sheetName val="Revenue"/>
      <sheetName val="PCT Revenue"/>
      <sheetName val="TART Rev"/>
      <sheetName val="PassRev"/>
      <sheetName val="New TART"/>
      <sheetName val="SalaryCalc"/>
      <sheetName val="Fuel - 2770"/>
      <sheetName val="Analysis"/>
      <sheetName val="Sheet12"/>
      <sheetName val="Sheet13"/>
      <sheetName val="Sheet14"/>
      <sheetName val="Sheet15"/>
      <sheetName val="Sheet16"/>
    </sheetNames>
    <sheetDataSet>
      <sheetData sheetId="0"/>
      <sheetData sheetId="1"/>
      <sheetData sheetId="2"/>
      <sheetData sheetId="3"/>
      <sheetData sheetId="4">
        <row r="1">
          <cell r="B1" t="str">
            <v>Placer County Transit Revenue</v>
          </cell>
        </row>
        <row r="3">
          <cell r="A3" t="str">
            <v>OL3</v>
          </cell>
          <cell r="B3" t="str">
            <v>Source</v>
          </cell>
        </row>
        <row r="4">
          <cell r="A4">
            <v>6170</v>
          </cell>
          <cell r="B4" t="str">
            <v>LTF</v>
          </cell>
        </row>
        <row r="5">
          <cell r="A5">
            <v>6950</v>
          </cell>
          <cell r="B5" t="str">
            <v>Interest Revenue</v>
          </cell>
        </row>
        <row r="6">
          <cell r="A6">
            <v>7249</v>
          </cell>
          <cell r="B6" t="str">
            <v>CMAQ - Buses</v>
          </cell>
        </row>
        <row r="7">
          <cell r="A7">
            <v>7249</v>
          </cell>
          <cell r="B7" t="str">
            <v>CMAQ - Commuter Service</v>
          </cell>
        </row>
        <row r="8">
          <cell r="A8">
            <v>7249</v>
          </cell>
          <cell r="B8" t="str">
            <v>FTA 5307 Urbanized Formula</v>
          </cell>
        </row>
        <row r="9">
          <cell r="A9">
            <v>7249</v>
          </cell>
          <cell r="B9" t="str">
            <v>FTA 5311 (Colfax &amp; Loomis)</v>
          </cell>
        </row>
        <row r="10">
          <cell r="A10">
            <v>7249</v>
          </cell>
          <cell r="B10" t="str">
            <v>FTA CNG Station</v>
          </cell>
        </row>
        <row r="11">
          <cell r="A11">
            <v>7300</v>
          </cell>
          <cell r="B11" t="str">
            <v>STA</v>
          </cell>
        </row>
        <row r="12">
          <cell r="A12">
            <v>8236</v>
          </cell>
          <cell r="B12" t="str">
            <v>Farebox</v>
          </cell>
        </row>
        <row r="13">
          <cell r="A13">
            <v>8237</v>
          </cell>
          <cell r="B13" t="str">
            <v>Alta Regional Center</v>
          </cell>
        </row>
        <row r="14">
          <cell r="A14">
            <v>8237</v>
          </cell>
          <cell r="B14" t="str">
            <v>Vanpool Fares</v>
          </cell>
        </row>
        <row r="15">
          <cell r="A15">
            <v>8238</v>
          </cell>
          <cell r="B15" t="str">
            <v>Deferred Revenue</v>
          </cell>
        </row>
        <row r="16">
          <cell r="A16">
            <v>8780</v>
          </cell>
          <cell r="B16" t="str">
            <v>Costs applied to TART</v>
          </cell>
        </row>
        <row r="17">
          <cell r="A17">
            <v>8782</v>
          </cell>
          <cell r="B17" t="str">
            <v>APCD - CNG Station</v>
          </cell>
        </row>
        <row r="18">
          <cell r="A18">
            <v>8782</v>
          </cell>
          <cell r="B18" t="str">
            <v>Auburn</v>
          </cell>
        </row>
        <row r="19">
          <cell r="A19">
            <v>8782</v>
          </cell>
          <cell r="B19" t="str">
            <v>Colfax</v>
          </cell>
        </row>
        <row r="20">
          <cell r="A20">
            <v>8782</v>
          </cell>
          <cell r="B20" t="str">
            <v>Contribution for Commuter Bus</v>
          </cell>
        </row>
        <row r="21">
          <cell r="A21">
            <v>8782</v>
          </cell>
          <cell r="B21" t="str">
            <v>Lincoln</v>
          </cell>
        </row>
        <row r="22">
          <cell r="A22">
            <v>8782</v>
          </cell>
          <cell r="B22" t="str">
            <v>Loomis</v>
          </cell>
        </row>
        <row r="23">
          <cell r="A23">
            <v>8782</v>
          </cell>
          <cell r="B23" t="str">
            <v>Rocklin</v>
          </cell>
        </row>
        <row r="24">
          <cell r="A24">
            <v>8782</v>
          </cell>
          <cell r="B24" t="str">
            <v>Roseville</v>
          </cell>
        </row>
        <row r="25">
          <cell r="A25">
            <v>8782</v>
          </cell>
          <cell r="B25" t="str">
            <v>SECAT - Buses</v>
          </cell>
        </row>
        <row r="26">
          <cell r="A26">
            <v>8782</v>
          </cell>
          <cell r="B26" t="str">
            <v>SECAT - CNG Station</v>
          </cell>
        </row>
        <row r="27">
          <cell r="A27">
            <v>8782</v>
          </cell>
          <cell r="B27" t="str">
            <v>Thunder Valley Casino</v>
          </cell>
        </row>
        <row r="28">
          <cell r="B28" t="str">
            <v>TOTAL</v>
          </cell>
        </row>
        <row r="31">
          <cell r="A31">
            <v>6170</v>
          </cell>
        </row>
        <row r="32">
          <cell r="A32">
            <v>6950</v>
          </cell>
        </row>
        <row r="33">
          <cell r="A33">
            <v>7249</v>
          </cell>
        </row>
        <row r="34">
          <cell r="A34">
            <v>7300</v>
          </cell>
        </row>
        <row r="35">
          <cell r="A35">
            <v>8236</v>
          </cell>
        </row>
        <row r="36">
          <cell r="A36">
            <v>8237</v>
          </cell>
        </row>
        <row r="37">
          <cell r="A37">
            <v>8238</v>
          </cell>
        </row>
        <row r="38">
          <cell r="A38">
            <v>8764</v>
          </cell>
        </row>
        <row r="39">
          <cell r="A39">
            <v>8780</v>
          </cell>
        </row>
        <row r="40">
          <cell r="A40">
            <v>8782</v>
          </cell>
        </row>
        <row r="43">
          <cell r="B43" t="str">
            <v xml:space="preserve">TART Revenue </v>
          </cell>
        </row>
        <row r="46">
          <cell r="A46">
            <v>6170</v>
          </cell>
          <cell r="B46" t="str">
            <v>LTF</v>
          </cell>
        </row>
        <row r="47">
          <cell r="A47">
            <v>6950</v>
          </cell>
          <cell r="B47" t="str">
            <v>Interest Revenue</v>
          </cell>
        </row>
        <row r="48">
          <cell r="A48">
            <v>7232</v>
          </cell>
          <cell r="B48" t="str">
            <v>West Slope Contr. Highway 89</v>
          </cell>
        </row>
        <row r="49">
          <cell r="A49">
            <v>7232</v>
          </cell>
          <cell r="B49" t="str">
            <v>West Slope Contr. CNG Fueling</v>
          </cell>
        </row>
        <row r="50">
          <cell r="A50">
            <v>7249</v>
          </cell>
          <cell r="B50" t="str">
            <v>FTA Grant - Construction</v>
          </cell>
        </row>
        <row r="51">
          <cell r="A51">
            <v>7249</v>
          </cell>
          <cell r="B51" t="str">
            <v>FTA Grant - 5311 TRPA</v>
          </cell>
        </row>
        <row r="52">
          <cell r="A52">
            <v>7249</v>
          </cell>
          <cell r="B52" t="str">
            <v>FTA Grant - 5311 PCTPA</v>
          </cell>
        </row>
        <row r="53">
          <cell r="A53">
            <v>7249</v>
          </cell>
          <cell r="B53" t="str">
            <v>FTA 5311 - Buses</v>
          </cell>
        </row>
        <row r="54">
          <cell r="A54">
            <v>7249</v>
          </cell>
          <cell r="B54" t="str">
            <v xml:space="preserve">CMAQ - CNG </v>
          </cell>
        </row>
        <row r="55">
          <cell r="A55">
            <v>7249</v>
          </cell>
          <cell r="B55" t="str">
            <v>CMAQ for Bus</v>
          </cell>
        </row>
        <row r="56">
          <cell r="A56">
            <v>7249</v>
          </cell>
          <cell r="B56" t="str">
            <v>Other - for Buses</v>
          </cell>
        </row>
        <row r="57">
          <cell r="A57">
            <v>7300</v>
          </cell>
          <cell r="B57" t="str">
            <v>STA</v>
          </cell>
        </row>
        <row r="58">
          <cell r="A58">
            <v>7300</v>
          </cell>
          <cell r="B58" t="str">
            <v>STA West Slope Disc - CNG</v>
          </cell>
        </row>
        <row r="59">
          <cell r="A59">
            <v>8212</v>
          </cell>
          <cell r="B59" t="str">
            <v>Other General Reimbursement</v>
          </cell>
        </row>
        <row r="60">
          <cell r="A60">
            <v>8236</v>
          </cell>
          <cell r="B60" t="str">
            <v>Farebox</v>
          </cell>
        </row>
        <row r="61">
          <cell r="A61">
            <v>8238</v>
          </cell>
          <cell r="B61" t="str">
            <v>Deferred Revenue</v>
          </cell>
        </row>
        <row r="62">
          <cell r="A62">
            <v>8238</v>
          </cell>
          <cell r="B62" t="str">
            <v>Other</v>
          </cell>
        </row>
        <row r="63">
          <cell r="A63">
            <v>8761</v>
          </cell>
          <cell r="B63" t="str">
            <v>Insurance Refunds</v>
          </cell>
        </row>
        <row r="64">
          <cell r="A64">
            <v>8762</v>
          </cell>
          <cell r="B64" t="str">
            <v>State Comp Ins Refund</v>
          </cell>
        </row>
        <row r="65">
          <cell r="A65">
            <v>8764</v>
          </cell>
          <cell r="B65" t="str">
            <v>Miscellaneous Revenue</v>
          </cell>
        </row>
        <row r="66">
          <cell r="A66">
            <v>8780</v>
          </cell>
          <cell r="B66" t="str">
            <v>Contribution for facility</v>
          </cell>
        </row>
        <row r="67">
          <cell r="A67">
            <v>8780</v>
          </cell>
          <cell r="B67" t="str">
            <v>Tahoe Engineering for Office Lease</v>
          </cell>
        </row>
        <row r="68">
          <cell r="A68">
            <v>8782</v>
          </cell>
          <cell r="B68" t="str">
            <v>RTC - Incline Village</v>
          </cell>
        </row>
        <row r="69">
          <cell r="A69">
            <v>8782</v>
          </cell>
          <cell r="B69" t="str">
            <v>Trolley Service Contract</v>
          </cell>
        </row>
        <row r="70">
          <cell r="A70">
            <v>8782</v>
          </cell>
          <cell r="B70" t="str">
            <v>TRPA Air Quality - Buses</v>
          </cell>
        </row>
        <row r="71">
          <cell r="A71">
            <v>8782</v>
          </cell>
          <cell r="B71" t="str">
            <v>TRPA Air Quality - CNG Fueling</v>
          </cell>
        </row>
        <row r="72">
          <cell r="A72">
            <v>8782</v>
          </cell>
          <cell r="B72" t="str">
            <v>Other - CNG</v>
          </cell>
        </row>
        <row r="73">
          <cell r="A73">
            <v>8782</v>
          </cell>
          <cell r="B73" t="str">
            <v>Highway 89 Resorts</v>
          </cell>
        </row>
        <row r="74">
          <cell r="A74">
            <v>8782</v>
          </cell>
          <cell r="B74" t="str">
            <v>Truckee Highway 89 Contract</v>
          </cell>
        </row>
        <row r="75">
          <cell r="A75">
            <v>8782</v>
          </cell>
          <cell r="B75" t="str">
            <v>Truckee Bus Contribution</v>
          </cell>
        </row>
        <row r="76">
          <cell r="A76">
            <v>8782</v>
          </cell>
          <cell r="B76" t="str">
            <v>RTC ADA Contribution</v>
          </cell>
        </row>
        <row r="77">
          <cell r="A77">
            <v>8782</v>
          </cell>
          <cell r="B77" t="str">
            <v xml:space="preserve"> Grant/Other</v>
          </cell>
        </row>
        <row r="78">
          <cell r="A78">
            <v>8782</v>
          </cell>
          <cell r="B78" t="str">
            <v>RTC - Contribution to Buses</v>
          </cell>
        </row>
        <row r="79">
          <cell r="A79">
            <v>8782</v>
          </cell>
          <cell r="B79" t="str">
            <v>TTD Car Rental Mitigation</v>
          </cell>
        </row>
        <row r="80">
          <cell r="A80">
            <v>8782</v>
          </cell>
          <cell r="B80" t="str">
            <v xml:space="preserve">Office Space Lease </v>
          </cell>
        </row>
        <row r="81">
          <cell r="A81">
            <v>8782</v>
          </cell>
          <cell r="B81" t="str">
            <v>PCAPCD AB2766</v>
          </cell>
        </row>
        <row r="82">
          <cell r="A82">
            <v>8782</v>
          </cell>
          <cell r="B82" t="str">
            <v>PCAPCD Mitigation Funds</v>
          </cell>
        </row>
        <row r="83">
          <cell r="A83">
            <v>8782</v>
          </cell>
          <cell r="B83" t="str">
            <v>SECAT - CNG Pipeline</v>
          </cell>
        </row>
        <row r="84">
          <cell r="A84">
            <v>8782</v>
          </cell>
          <cell r="B84" t="str">
            <v>El Dorado County</v>
          </cell>
        </row>
        <row r="85">
          <cell r="A85">
            <v>8782</v>
          </cell>
          <cell r="B85" t="str">
            <v>Other Bus Funding</v>
          </cell>
        </row>
        <row r="86">
          <cell r="A86">
            <v>8953</v>
          </cell>
          <cell r="B86" t="str">
            <v>Loan fr PCT</v>
          </cell>
        </row>
        <row r="87">
          <cell r="B87" t="str">
            <v>TOTAL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hoe_final"/>
      <sheetName val="Tahoe sort for visitor"/>
      <sheetName val="Input"/>
      <sheetName val="Output"/>
      <sheetName val="95 Socio"/>
      <sheetName val="Veh Occ"/>
      <sheetName val="Travel Mode"/>
      <sheetName val="Tahoe Valley CP"/>
      <sheetName val="SLT Travel Mode Summary"/>
      <sheetName val="S Stateline"/>
      <sheetName val="N Stateline NoCasino"/>
      <sheetName val="N Casino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"/>
      <sheetName val="2"/>
      <sheetName val="3"/>
      <sheetName val="6"/>
      <sheetName val="7"/>
      <sheetName val="8"/>
      <sheetName val="9"/>
      <sheetName val="10"/>
      <sheetName val="13"/>
      <sheetName val="14"/>
      <sheetName val="15"/>
      <sheetName val="16"/>
      <sheetName val="17"/>
      <sheetName val="20"/>
      <sheetName val="21"/>
      <sheetName val="22"/>
      <sheetName val="23"/>
      <sheetName val="24"/>
      <sheetName val="27"/>
      <sheetName val="28"/>
      <sheetName val="29"/>
      <sheetName val="30"/>
      <sheetName val="31"/>
      <sheetName val="Sat 4"/>
      <sheetName val="Sat 11"/>
      <sheetName val="Sat 18"/>
      <sheetName val="Sat 25"/>
      <sheetName val="Sat E"/>
      <sheetName val="Sun 5"/>
      <sheetName val="Sun 12"/>
      <sheetName val="Sun 19"/>
      <sheetName val="Sun 26"/>
      <sheetName val="Sun E"/>
      <sheetName val="RT 21"/>
      <sheetName val="RT 21 SAT"/>
      <sheetName val="RT 21 SUN"/>
      <sheetName val="RT 23"/>
      <sheetName val="RT 23 SAT"/>
      <sheetName val="RT 23 SUN"/>
      <sheetName val="RT 24"/>
      <sheetName val="RT 24 SAT"/>
      <sheetName val="RT 24 SUN"/>
      <sheetName val="RT 25"/>
      <sheetName val="WEEKDAY"/>
      <sheetName val="SATURDAY"/>
      <sheetName val="SUNDAY"/>
      <sheetName val="MILEAGE SUM"/>
      <sheetName val="AVILA"/>
      <sheetName val="LOPEZ"/>
      <sheetName val="OP REPO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-1 Employ"/>
      <sheetName val="T-2 EmpBySector"/>
      <sheetName val="T-3 CmmtrData"/>
      <sheetName val="T4&amp;5, F4&amp;5"/>
      <sheetName val="T-6 MajEmploy."/>
      <sheetName val="T-7 ProjPop"/>
      <sheetName val="F-6 ProjPop"/>
      <sheetName val="T-8 Housing"/>
      <sheetName val="T-9 Demog"/>
      <sheetName val="T-10 Fares"/>
      <sheetName val="T-11 MultiRide"/>
      <sheetName val="F-12 TDA Flow Chart"/>
      <sheetName val="T-12 PCT PxbyRte"/>
      <sheetName val="T-13 PCT BoardingHr"/>
      <sheetName val="T-14 PCT On-Off"/>
      <sheetName val="T-15 PCT VSM&amp;VSH"/>
      <sheetName val="T-16 PCT Fleet"/>
      <sheetName val="T-17 PCT Revs"/>
      <sheetName val="T-18 PCT Cost Model"/>
      <sheetName val="T-19 PCT Perf"/>
      <sheetName val="F14 to F18 PCT Perf"/>
      <sheetName val="F-19 Aub PxMo"/>
      <sheetName val="T-20 Aub On-Off"/>
      <sheetName val="T-21 Aub RtDevs"/>
      <sheetName val="T-22 Aub Fleet"/>
      <sheetName val="T-23 Aub Rev"/>
      <sheetName val="T-24 Aub Cost Model"/>
      <sheetName val="T-25 Aub Perf"/>
      <sheetName val="F20 to F24 Aub Perf"/>
      <sheetName val="T-26 Linc PxMo"/>
      <sheetName val="T-27 Linc On-Off"/>
      <sheetName val="T-28 Linc Fleet"/>
      <sheetName val="T-29 Linc Rev"/>
      <sheetName val="T-30 Linc Cost Model"/>
      <sheetName val="T-31 Linc Perf"/>
      <sheetName val="F25 to F29 Linc Perf"/>
      <sheetName val="T-32 R'Ville AnnPx"/>
      <sheetName val="T-33 R'Ville MoPx"/>
      <sheetName val="T-34 R'Ville ByRte"/>
      <sheetName val="T35 R'Ville ByDay"/>
      <sheetName val="T36 R'ville PxByHr"/>
      <sheetName val="T37 R'ville On-Off"/>
      <sheetName val="T-38 R'Ville Commuter"/>
      <sheetName val="T-39 R'ville VSH"/>
      <sheetName val="T-40 R'Ville VSM"/>
      <sheetName val="T-41 R'Ville Fleet"/>
      <sheetName val="T-42 R'ville PNR"/>
      <sheetName val="T-43 R'Ville Revs"/>
      <sheetName val="T-44 R'Ville Cost Model"/>
      <sheetName val="T-45 R'Ville Perf"/>
      <sheetName val="F30 to F34 R'Ville Perf"/>
      <sheetName val="T-46 CTSA MoPx"/>
      <sheetName val="T-47 CTSA VSH"/>
      <sheetName val="T-48 CTSA VSM"/>
      <sheetName val="T-49 CTSA Fleet"/>
      <sheetName val="T-50 CTSA Revs"/>
      <sheetName val="T-51 CTSA Cost Model "/>
      <sheetName val="T-52 CTSA Perf"/>
      <sheetName val="F35 to F39 CTSA Perf"/>
      <sheetName val="T-53 Summary"/>
      <sheetName val="T-54 GLI Departures"/>
      <sheetName val="T-55 SumDem Tract"/>
      <sheetName val="T-56 Commuters"/>
      <sheetName val="F40 Demand Summary"/>
      <sheetName val="T57 2002 Interchange"/>
      <sheetName val="F41 Interchange"/>
      <sheetName val="T58 2005 Interchange"/>
      <sheetName val="PCT Elasticity"/>
      <sheetName val="PCT HrMi Per Run"/>
      <sheetName val="PCT New Devel"/>
      <sheetName val="PCT Fare Increases"/>
      <sheetName val="PCT Stanford Ranch PX"/>
      <sheetName val="PCT Unincorp W SW Roseville"/>
      <sheetName val="PCT FR TOD"/>
      <sheetName val="Aub Px per Hr"/>
      <sheetName val="Auburn New Svc Area"/>
      <sheetName val="Auburn Deviations"/>
      <sheetName val="Auburn Station"/>
      <sheetName val="Auburn Elasticity"/>
      <sheetName val="Auburn Fare Increases"/>
      <sheetName val="Auburn 01-02 Summary"/>
      <sheetName val="Auburn Sat-Sun Svc"/>
      <sheetName val="Linc New Serv Area"/>
      <sheetName val="Lincoln Elasticity"/>
      <sheetName val="Lincoln Fare Increases"/>
      <sheetName val="Linc Hrs &amp; Mi"/>
      <sheetName val="RVille CapCor Px"/>
      <sheetName val="RVille Fare Increases"/>
      <sheetName val="RVille Elasticity"/>
      <sheetName val="R'Ville SierCol to Gall"/>
      <sheetName val="RVille EDCTA Departures 2002"/>
      <sheetName val="RVille EDCTA Departures 2003"/>
      <sheetName val="RVille HrMi Per Run"/>
      <sheetName val="RVille Misc Calcs"/>
      <sheetName val="RVille Stnrdge &amp; Highlands Px"/>
      <sheetName val="RVille New Rt M Loop Px"/>
      <sheetName val="R'Ville to Sierra College"/>
      <sheetName val="R'Ville to Light Rail"/>
      <sheetName val="CTSA ALTS"/>
      <sheetName val="Lincoln ALTS"/>
      <sheetName val="Hwy 49 wk-sat"/>
      <sheetName val="Taylr wk-sat"/>
      <sheetName val="RockLoom wk-sat"/>
      <sheetName val="GB weekdays"/>
      <sheetName val="Allocations"/>
      <sheetName val="AppA"/>
      <sheetName val="1990 BG Demo"/>
      <sheetName val="T-B1 2000 Dem. Table"/>
      <sheetName val="T-B2 2005 Dem. Table"/>
      <sheetName val="T-B3 2010 Dem. Table"/>
      <sheetName val="T-C1A 49 NB On-Off"/>
      <sheetName val="T-C1B 49 SB On-Off"/>
      <sheetName val="T-C1C 49 Sat On-Off"/>
      <sheetName val="TC1-D Sierra College On-Off"/>
      <sheetName val="TC1-E Sierra College On-Off Sat"/>
      <sheetName val="T-C1F Aub-LR On-Off Tue1"/>
      <sheetName val="T-C1G Aub-LR On-Off Tues2"/>
      <sheetName val="T-C1H Aub-LR On-Off Thurs"/>
      <sheetName val="T-C1I Auburn-LR On-Off Sat"/>
      <sheetName val="T-C1J Colfax-Alta On-Off"/>
      <sheetName val="T-C1K Taylor(Tues) On-Off"/>
      <sheetName val="T-C1LTaylor(Thurs) On-Off"/>
      <sheetName val="T-C1M Lincoln On-Off"/>
      <sheetName val="T-C2A Auburn Red On-Off"/>
      <sheetName val="T-C2B Auburn-Blue On-Off"/>
      <sheetName val="T-C3A Linc 102 On-Off"/>
      <sheetName val="T-C3B Linc 202 On-Off"/>
      <sheetName val="T-C3C Linc 203 On-Off"/>
      <sheetName val="T-C4A R'Ville RtA (Wkdy) On-Off"/>
      <sheetName val="T-C4B R'Ville RtA (Sat) On-Off"/>
      <sheetName val="T-C4C R'Ville RtB (Wkdy) On-Off"/>
      <sheetName val="T-C4D R'Ville RtB (Sat) On-Off"/>
      <sheetName val="T-C4E R'Ville RtC (Tue) On-Off"/>
      <sheetName val="T-C4F R'Ville RtC (Wed) On-Off"/>
      <sheetName val="T-C4G R'Ville RtC (Thu) On-Off"/>
      <sheetName val="T-C4H R'Ville RtC (Sat) On-Off"/>
      <sheetName val="T-C4I R'Ville RtD (Tue) On-Off"/>
      <sheetName val="T-C4J R'Ville RtD (Wed) On-Off"/>
      <sheetName val="T-C4K R'Ville RtD (Sat) On-Off"/>
      <sheetName val="T-C4L R'Ville RtE (Wkdy) On-Off"/>
      <sheetName val="T-C4M R'Ville RtE (Sat) On-Off"/>
      <sheetName val="T-C4N R'Ville RtJ (Wkdy) On-Off"/>
      <sheetName val="T-C4O R'Ville RtJ (Sat) On-Off"/>
      <sheetName val="T-C4P R'Ville RtK (Wkdy) On-Off"/>
      <sheetName val="T-C4Q R'Ville RtK (Sat) On-Off"/>
      <sheetName val="T-C4R R'Ville RtM (Wkdy) On-Off"/>
      <sheetName val="T-C4S R'Ville RtM (Sat) On-Off"/>
      <sheetName val="T-C4T R'Ville RtR On-Off"/>
      <sheetName val="T-C4U R'Ville Com1 On-Off"/>
      <sheetName val="T-C4V R'Ville Com2 On-Off"/>
      <sheetName val="T-C4W R'Ville Com3 On-Off"/>
      <sheetName val="T-C4X R'Ville Com4 On-Off"/>
      <sheetName val="T-C4Y R'Ville Com5 On-Off"/>
      <sheetName val="T-C4Z R'Ville Com6 On-Off"/>
      <sheetName val="T-D1A 49 SB SkedAdher"/>
      <sheetName val="T-D1B 49 NB SkedAdher"/>
      <sheetName val="T-D1C NAuburn SkedAdher"/>
      <sheetName val="T-D1D Sierra College SkedAdher"/>
      <sheetName val="T-D1E Aub-LR(Tues1) SkedAdher"/>
      <sheetName val="T-D1F Aub-LR(Tues2) SkedAdher"/>
      <sheetName val="T-D1G Aub-LR(Thur) SkedAdher"/>
      <sheetName val="T-D1H Colfax-Alta SkedAdher"/>
      <sheetName val="T-D1I Taylor(Tues) SkedAdher"/>
      <sheetName val="T-D1J Taylor(Thur) SkedAdher"/>
      <sheetName val="T-D1K Lincoln SkedAdher"/>
      <sheetName val="T-D2A Auburn-Red SkedAdher"/>
      <sheetName val="T-D2B Aub-Blue SkedAdher"/>
      <sheetName val="T-D3A Linc 102 SkedAdher"/>
      <sheetName val="T-D3B Linc 202 SkedAdher"/>
      <sheetName val="T-D3C Linc 203 SkedAdher"/>
      <sheetName val="T-D4A R'Ville RtA SkedAd"/>
      <sheetName val="T-D4B R'Ville RtB SkedAd"/>
      <sheetName val="T-D4C R'Ville RtC SkedAd"/>
      <sheetName val="T-D4D R'Ville RtC-Rev SkedAd"/>
      <sheetName val="T-D4E R'Ville RtD SkedAd"/>
      <sheetName val="T-D4F R'Ville RtDRev SkedAd"/>
      <sheetName val="T-D4G R'Ville RtE SkedAd"/>
      <sheetName val="T-D4H R'Ville RtJ SkedAd"/>
      <sheetName val="T-D4I R'Ville RtJRev SkedAd"/>
      <sheetName val="T-D4J R'Ville RtK SkedAd"/>
      <sheetName val="T-D4K R'Ville RtKRev SkedAd"/>
      <sheetName val="T-D4L R'Ville RtM SkedAd"/>
      <sheetName val="T-D4M R'Ville RtR SkedAd"/>
      <sheetName val="T-D4N R'Ville Com1 SkedAd"/>
      <sheetName val="T-D4O R'Ville Com2 SkedAd"/>
      <sheetName val="T-D4P R'Ville Com3 SkedAd"/>
      <sheetName val="T-D4R R'Ville Com4 SkedAd"/>
      <sheetName val="T-D4S R'Ville Com5 SkedAd"/>
      <sheetName val="T-D4T R'Ville Com6 SkedAd"/>
      <sheetName val="SF3 Part 1"/>
      <sheetName val="SF1 Part 1"/>
      <sheetName val="2000 Nationwide MobLtd 2"/>
      <sheetName val="2000sacog"/>
      <sheetName val="2005"/>
      <sheetName val="2010"/>
      <sheetName val="2020"/>
      <sheetName val="sqmile~1"/>
      <sheetName val="PCT Costs"/>
      <sheetName val="R'Ville Peak FR"/>
      <sheetName val="R'Ville Peak Commuter"/>
      <sheetName val="DAR General Fares"/>
      <sheetName val="FR General Fares "/>
      <sheetName val="PCT AnnFare"/>
      <sheetName val="R'Ville Existing Rts"/>
      <sheetName val="CTSA ride summary"/>
      <sheetName val="Hwy 49 all"/>
      <sheetName val="Taylr all"/>
      <sheetName val="RockLoom all"/>
      <sheetName val="Route Highway 49 raw data"/>
      <sheetName val="Route Highway 49 raw data (2)"/>
      <sheetName val="Highway 49 raw data (sat)"/>
      <sheetName val="Sierra College raw data"/>
      <sheetName val="Sierra College raw data (2)"/>
      <sheetName val="Sierra College raw data (sat)"/>
      <sheetName val="Auburn-Light Rail raw data"/>
      <sheetName val="Auburn-Light Rail raw data (2)"/>
      <sheetName val="Auburn-LR raw data(sat)"/>
      <sheetName val="PCT Colfax-Alta AM raw data"/>
      <sheetName val="PCT Colfax-Alta PM raw data"/>
      <sheetName val="PCT Taylor (Tues) raw data"/>
      <sheetName val="PCT Taylor (Thurs) raw data"/>
      <sheetName val="PCT Lincoln raw data"/>
      <sheetName val="Auburn-Red raw data"/>
      <sheetName val="Auburn-Blue raw data"/>
      <sheetName val="Linc 102 730 raw data"/>
      <sheetName val="Linc 202 945 raw data"/>
      <sheetName val="Linc 203 845 raw data"/>
      <sheetName val="R'Ville RtA (Wkdy) raw data"/>
      <sheetName val="R'Ville Rte A (Sat) raw data"/>
      <sheetName val="R'Ville RtB (Wkdy) raw data"/>
      <sheetName val="R'Ville RtB (Sat) raw data"/>
      <sheetName val="R'Ville RtC (Wkdy) raw data"/>
      <sheetName val="R'Ville RtC (Wkdy) raw data 2"/>
      <sheetName val="R'Ville RtC (Sat) raw data"/>
      <sheetName val="R'Ville RtD (Wkdy) raw data"/>
      <sheetName val="R'Ville RtD (Sat) raw data"/>
      <sheetName val="R'Ville RtE (Wkdy) raw data"/>
      <sheetName val="R'Ville RtE (Sat) raw data"/>
      <sheetName val="R'Ville RtJ (Wkdy) raw data"/>
      <sheetName val="R'Ville RtJ (Sat) raw data"/>
      <sheetName val="R'Ville RtK (Wkdy) raw data"/>
      <sheetName val="R'Ville RtK (Sat) raw data"/>
      <sheetName val="R'Ville RtM (Wkdy) raw data"/>
      <sheetName val="R'Ville RtM (Sat) raw data"/>
      <sheetName val="R'Ville RtR raw data"/>
      <sheetName val="R'Ville Com1&amp;6 raw data"/>
      <sheetName val="R'Ville Com2 raw data"/>
      <sheetName val="R'Ville Com3 raw data"/>
      <sheetName val="R'Ville Com4 raw data"/>
      <sheetName val="R'Ville Com5 raw data"/>
      <sheetName val="Comm Rdrshp-Rte"/>
      <sheetName val="Aub PxMo"/>
      <sheetName val="Sum. Demand"/>
      <sheetName val="Mode Split"/>
      <sheetName val="Eld. Demand"/>
      <sheetName val="Emp. Demand"/>
      <sheetName val="Emp. Dem.no BG"/>
      <sheetName val="SumCostAll"/>
      <sheetName val="Dont Use 1"/>
      <sheetName val="Dont Use 2"/>
      <sheetName val="Dont Use 3"/>
      <sheetName val="CTSA Elasticity"/>
      <sheetName val="PCT Perf 02-03 thru 01-04"/>
      <sheetName val="PCT 02-03 Cost Model"/>
      <sheetName val="Aub 02-03 Cost Model"/>
      <sheetName val="Aub 02-03 Perf"/>
      <sheetName val="R'Ville 02-03 Cost Model"/>
      <sheetName val="R'Ville 02-03 Perf"/>
      <sheetName val="Linc Cost Model"/>
      <sheetName val="Linc Perf"/>
      <sheetName val="#RE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>
        <row r="1">
          <cell r="A1" t="str">
            <v>AREA_IN_SQ</v>
          </cell>
          <cell r="B1" t="str">
            <v>BLOCK_GROU</v>
          </cell>
        </row>
        <row r="2">
          <cell r="A2">
            <v>2.65</v>
          </cell>
          <cell r="B2" t="str">
            <v>060610201011</v>
          </cell>
        </row>
        <row r="3">
          <cell r="A3">
            <v>7.51</v>
          </cell>
          <cell r="B3" t="str">
            <v>060610201012</v>
          </cell>
        </row>
        <row r="4">
          <cell r="A4">
            <v>0.32</v>
          </cell>
          <cell r="B4" t="str">
            <v>060610201013</v>
          </cell>
        </row>
        <row r="5">
          <cell r="A5">
            <v>21.06</v>
          </cell>
          <cell r="B5" t="str">
            <v>060610201021</v>
          </cell>
        </row>
        <row r="6">
          <cell r="A6">
            <v>1.68</v>
          </cell>
          <cell r="B6" t="str">
            <v>060610201022</v>
          </cell>
        </row>
        <row r="7">
          <cell r="A7">
            <v>0.34</v>
          </cell>
          <cell r="B7" t="str">
            <v>060610201023</v>
          </cell>
        </row>
        <row r="8">
          <cell r="A8">
            <v>8.0299999999999994</v>
          </cell>
          <cell r="B8" t="str">
            <v>060610201031</v>
          </cell>
        </row>
        <row r="9">
          <cell r="A9">
            <v>0.74</v>
          </cell>
          <cell r="B9" t="str">
            <v>060610201032</v>
          </cell>
        </row>
        <row r="10">
          <cell r="A10">
            <v>0.3</v>
          </cell>
          <cell r="B10" t="str">
            <v>060610201033</v>
          </cell>
        </row>
        <row r="11">
          <cell r="A11">
            <v>7.31</v>
          </cell>
          <cell r="B11" t="str">
            <v>060610201041</v>
          </cell>
        </row>
        <row r="12">
          <cell r="A12">
            <v>0.38</v>
          </cell>
          <cell r="B12" t="str">
            <v>060610201042</v>
          </cell>
        </row>
        <row r="13">
          <cell r="A13">
            <v>0.44</v>
          </cell>
          <cell r="B13" t="str">
            <v>060610201043</v>
          </cell>
        </row>
        <row r="14">
          <cell r="A14">
            <v>0.16</v>
          </cell>
          <cell r="B14" t="str">
            <v>060610201044</v>
          </cell>
        </row>
        <row r="15">
          <cell r="A15">
            <v>0.44</v>
          </cell>
          <cell r="B15" t="str">
            <v>060610201045</v>
          </cell>
        </row>
        <row r="16">
          <cell r="A16">
            <v>2.74</v>
          </cell>
          <cell r="B16" t="str">
            <v>060610201051</v>
          </cell>
        </row>
        <row r="17">
          <cell r="A17">
            <v>6.93</v>
          </cell>
          <cell r="B17" t="str">
            <v>060610201052</v>
          </cell>
        </row>
        <row r="18">
          <cell r="A18">
            <v>0.24</v>
          </cell>
          <cell r="B18" t="str">
            <v>060610201053</v>
          </cell>
        </row>
        <row r="19">
          <cell r="A19">
            <v>0.78</v>
          </cell>
          <cell r="B19" t="str">
            <v>060610201054</v>
          </cell>
        </row>
        <row r="20">
          <cell r="A20">
            <v>1.79</v>
          </cell>
          <cell r="B20" t="str">
            <v>060610201061</v>
          </cell>
        </row>
        <row r="21">
          <cell r="A21">
            <v>0.56000000000000005</v>
          </cell>
          <cell r="B21" t="str">
            <v>060610201062</v>
          </cell>
        </row>
        <row r="22">
          <cell r="A22">
            <v>6.2</v>
          </cell>
          <cell r="B22" t="str">
            <v>060610201063</v>
          </cell>
        </row>
        <row r="23">
          <cell r="A23">
            <v>0.5</v>
          </cell>
          <cell r="B23" t="str">
            <v>060610201071</v>
          </cell>
        </row>
        <row r="24">
          <cell r="A24">
            <v>0.22</v>
          </cell>
          <cell r="B24" t="str">
            <v>060610201072</v>
          </cell>
        </row>
        <row r="25">
          <cell r="A25">
            <v>0.13</v>
          </cell>
          <cell r="B25" t="str">
            <v>060610201073</v>
          </cell>
        </row>
        <row r="26">
          <cell r="A26">
            <v>2.0499999999999998</v>
          </cell>
          <cell r="B26" t="str">
            <v>060610201074</v>
          </cell>
        </row>
        <row r="27">
          <cell r="A27">
            <v>38.49</v>
          </cell>
          <cell r="B27" t="str">
            <v>060610202001</v>
          </cell>
        </row>
        <row r="28">
          <cell r="A28">
            <v>5.1100000000000003</v>
          </cell>
          <cell r="B28" t="str">
            <v>060610202002</v>
          </cell>
        </row>
        <row r="29">
          <cell r="A29">
            <v>227.94</v>
          </cell>
          <cell r="B29" t="str">
            <v>060610202003</v>
          </cell>
        </row>
        <row r="30">
          <cell r="A30">
            <v>1.35</v>
          </cell>
          <cell r="B30" t="str">
            <v>060610202004</v>
          </cell>
        </row>
        <row r="31">
          <cell r="A31">
            <v>287.74</v>
          </cell>
          <cell r="B31" t="str">
            <v>060610202005</v>
          </cell>
        </row>
        <row r="32">
          <cell r="A32">
            <v>0.99</v>
          </cell>
          <cell r="B32" t="str">
            <v>060610203001</v>
          </cell>
        </row>
        <row r="33">
          <cell r="A33">
            <v>1.1399999999999999</v>
          </cell>
          <cell r="B33" t="str">
            <v>060610203002</v>
          </cell>
        </row>
        <row r="34">
          <cell r="A34">
            <v>3.07</v>
          </cell>
          <cell r="B34" t="str">
            <v>060610204001</v>
          </cell>
        </row>
        <row r="35">
          <cell r="A35">
            <v>0.83</v>
          </cell>
          <cell r="B35" t="str">
            <v>060610204002</v>
          </cell>
        </row>
        <row r="36">
          <cell r="A36">
            <v>0.17</v>
          </cell>
          <cell r="B36" t="str">
            <v>060610204003</v>
          </cell>
        </row>
        <row r="37">
          <cell r="A37">
            <v>4.8899999999999997</v>
          </cell>
          <cell r="B37" t="str">
            <v>060610205001</v>
          </cell>
        </row>
        <row r="38">
          <cell r="A38">
            <v>5.2</v>
          </cell>
          <cell r="B38" t="str">
            <v>060610205002</v>
          </cell>
        </row>
        <row r="39">
          <cell r="A39">
            <v>1</v>
          </cell>
          <cell r="B39" t="str">
            <v>060610205003</v>
          </cell>
        </row>
        <row r="40">
          <cell r="A40">
            <v>3.86</v>
          </cell>
          <cell r="B40" t="str">
            <v>060610205004</v>
          </cell>
        </row>
        <row r="41">
          <cell r="A41">
            <v>5.76</v>
          </cell>
          <cell r="B41" t="str">
            <v>060610205005</v>
          </cell>
        </row>
        <row r="42">
          <cell r="A42">
            <v>0.98</v>
          </cell>
          <cell r="B42" t="str">
            <v>060610206011</v>
          </cell>
        </row>
        <row r="43">
          <cell r="A43">
            <v>8.24</v>
          </cell>
          <cell r="B43" t="str">
            <v>060610206012</v>
          </cell>
        </row>
        <row r="44">
          <cell r="A44">
            <v>0.47</v>
          </cell>
          <cell r="B44" t="str">
            <v>060610206013</v>
          </cell>
        </row>
        <row r="45">
          <cell r="A45">
            <v>4.4800000000000004</v>
          </cell>
          <cell r="B45" t="str">
            <v>060610206021</v>
          </cell>
        </row>
        <row r="46">
          <cell r="A46">
            <v>2.0499999999999998</v>
          </cell>
          <cell r="B46" t="str">
            <v>060610206022</v>
          </cell>
        </row>
        <row r="47">
          <cell r="A47">
            <v>1.72</v>
          </cell>
          <cell r="B47" t="str">
            <v>060610206023</v>
          </cell>
        </row>
        <row r="48">
          <cell r="A48">
            <v>5.84</v>
          </cell>
          <cell r="B48" t="str">
            <v>060610206024</v>
          </cell>
        </row>
        <row r="49">
          <cell r="A49">
            <v>4.63</v>
          </cell>
          <cell r="B49" t="str">
            <v>060610206025</v>
          </cell>
        </row>
        <row r="50">
          <cell r="A50">
            <v>1.26</v>
          </cell>
          <cell r="B50" t="str">
            <v>060610206041</v>
          </cell>
        </row>
        <row r="51">
          <cell r="A51">
            <v>1.1299999999999999</v>
          </cell>
          <cell r="B51" t="str">
            <v>060610206042</v>
          </cell>
        </row>
        <row r="52">
          <cell r="A52">
            <v>1.26</v>
          </cell>
          <cell r="B52" t="str">
            <v>060610206043</v>
          </cell>
        </row>
        <row r="53">
          <cell r="A53">
            <v>0.82</v>
          </cell>
          <cell r="B53" t="str">
            <v>060610206044</v>
          </cell>
        </row>
        <row r="54">
          <cell r="A54">
            <v>2.2999999999999998</v>
          </cell>
          <cell r="B54" t="str">
            <v>060610206051</v>
          </cell>
        </row>
        <row r="55">
          <cell r="A55">
            <v>1.68</v>
          </cell>
          <cell r="B55" t="str">
            <v>060610206052</v>
          </cell>
        </row>
        <row r="56">
          <cell r="A56">
            <v>1.57</v>
          </cell>
          <cell r="B56" t="str">
            <v>060610206061</v>
          </cell>
        </row>
        <row r="57">
          <cell r="A57">
            <v>0.33</v>
          </cell>
          <cell r="B57" t="str">
            <v>060610207021</v>
          </cell>
        </row>
        <row r="58">
          <cell r="A58">
            <v>0.27</v>
          </cell>
          <cell r="B58" t="str">
            <v>060610207022</v>
          </cell>
        </row>
        <row r="59">
          <cell r="A59">
            <v>0.65</v>
          </cell>
          <cell r="B59" t="str">
            <v>060610207023</v>
          </cell>
        </row>
        <row r="60">
          <cell r="A60">
            <v>0.55000000000000004</v>
          </cell>
          <cell r="B60" t="str">
            <v>060610207031</v>
          </cell>
        </row>
        <row r="61">
          <cell r="A61">
            <v>0.55000000000000004</v>
          </cell>
          <cell r="B61" t="str">
            <v>060610207032</v>
          </cell>
        </row>
        <row r="62">
          <cell r="A62">
            <v>0.38</v>
          </cell>
          <cell r="B62" t="str">
            <v>060610207033</v>
          </cell>
        </row>
        <row r="63">
          <cell r="A63">
            <v>3.69</v>
          </cell>
          <cell r="B63" t="str">
            <v>060610207041</v>
          </cell>
        </row>
        <row r="64">
          <cell r="A64">
            <v>1.21</v>
          </cell>
          <cell r="B64" t="str">
            <v>060610207051</v>
          </cell>
        </row>
        <row r="65">
          <cell r="A65">
            <v>0.45</v>
          </cell>
          <cell r="B65" t="str">
            <v>060610207052</v>
          </cell>
        </row>
        <row r="66">
          <cell r="A66">
            <v>0.83</v>
          </cell>
          <cell r="B66" t="str">
            <v>060610207053</v>
          </cell>
        </row>
        <row r="67">
          <cell r="A67">
            <v>0.49</v>
          </cell>
          <cell r="B67" t="str">
            <v>060610208001</v>
          </cell>
        </row>
        <row r="68">
          <cell r="A68">
            <v>0.45</v>
          </cell>
          <cell r="B68" t="str">
            <v>060610208002</v>
          </cell>
        </row>
        <row r="69">
          <cell r="A69">
            <v>0.76</v>
          </cell>
          <cell r="B69" t="str">
            <v>060610208003</v>
          </cell>
        </row>
        <row r="70">
          <cell r="A70">
            <v>0.13</v>
          </cell>
          <cell r="B70" t="str">
            <v>060610209011</v>
          </cell>
        </row>
        <row r="71">
          <cell r="A71">
            <v>0.54</v>
          </cell>
          <cell r="B71" t="str">
            <v>060610209012</v>
          </cell>
        </row>
        <row r="72">
          <cell r="A72">
            <v>5.19</v>
          </cell>
          <cell r="B72" t="str">
            <v>060610209021</v>
          </cell>
        </row>
        <row r="73">
          <cell r="A73">
            <v>3.07</v>
          </cell>
          <cell r="B73" t="str">
            <v>060610209022</v>
          </cell>
        </row>
        <row r="74">
          <cell r="A74">
            <v>0.41</v>
          </cell>
          <cell r="B74" t="str">
            <v>060610209023</v>
          </cell>
        </row>
        <row r="75">
          <cell r="A75">
            <v>0.54</v>
          </cell>
          <cell r="B75" t="str">
            <v>060610209024</v>
          </cell>
        </row>
        <row r="76">
          <cell r="A76">
            <v>0.27</v>
          </cell>
          <cell r="B76" t="str">
            <v>060610210031</v>
          </cell>
        </row>
        <row r="77">
          <cell r="A77">
            <v>0.21</v>
          </cell>
          <cell r="B77" t="str">
            <v>060610210032</v>
          </cell>
        </row>
        <row r="78">
          <cell r="A78">
            <v>0.54</v>
          </cell>
          <cell r="B78" t="str">
            <v>060610210033</v>
          </cell>
        </row>
        <row r="79">
          <cell r="A79">
            <v>1.82</v>
          </cell>
          <cell r="B79" t="str">
            <v>060610210034</v>
          </cell>
        </row>
        <row r="80">
          <cell r="A80">
            <v>3.53</v>
          </cell>
          <cell r="B80" t="str">
            <v>060610210041</v>
          </cell>
        </row>
        <row r="81">
          <cell r="A81">
            <v>4.88</v>
          </cell>
          <cell r="B81" t="str">
            <v>060610210051</v>
          </cell>
        </row>
        <row r="82">
          <cell r="A82">
            <v>0.75</v>
          </cell>
          <cell r="B82" t="str">
            <v>060610210061</v>
          </cell>
        </row>
        <row r="83">
          <cell r="A83">
            <v>1.1200000000000001</v>
          </cell>
          <cell r="B83" t="str">
            <v>060610210062</v>
          </cell>
        </row>
        <row r="84">
          <cell r="A84">
            <v>0.43</v>
          </cell>
          <cell r="B84" t="str">
            <v>060610210071</v>
          </cell>
        </row>
        <row r="85">
          <cell r="A85">
            <v>2.35</v>
          </cell>
          <cell r="B85" t="str">
            <v>060610210072</v>
          </cell>
        </row>
        <row r="86">
          <cell r="A86">
            <v>0.42</v>
          </cell>
          <cell r="B86" t="str">
            <v>060610210081</v>
          </cell>
        </row>
        <row r="87">
          <cell r="A87">
            <v>0.81</v>
          </cell>
          <cell r="B87" t="str">
            <v>060610210082</v>
          </cell>
        </row>
        <row r="88">
          <cell r="A88">
            <v>1.0900000000000001</v>
          </cell>
          <cell r="B88" t="str">
            <v>060610211031</v>
          </cell>
        </row>
        <row r="89">
          <cell r="A89">
            <v>0.11</v>
          </cell>
          <cell r="B89" t="str">
            <v>060610211032</v>
          </cell>
        </row>
        <row r="90">
          <cell r="A90">
            <v>0.56000000000000005</v>
          </cell>
          <cell r="B90" t="str">
            <v>060610211033</v>
          </cell>
        </row>
        <row r="91">
          <cell r="A91">
            <v>0.18</v>
          </cell>
          <cell r="B91" t="str">
            <v>060610211034</v>
          </cell>
        </row>
        <row r="92">
          <cell r="A92">
            <v>5.78</v>
          </cell>
          <cell r="B92" t="str">
            <v>060610211041</v>
          </cell>
        </row>
        <row r="93">
          <cell r="A93">
            <v>1.06</v>
          </cell>
          <cell r="B93" t="str">
            <v>060610211051</v>
          </cell>
        </row>
        <row r="94">
          <cell r="A94">
            <v>0.74</v>
          </cell>
          <cell r="B94" t="str">
            <v>060610211061</v>
          </cell>
        </row>
        <row r="95">
          <cell r="A95">
            <v>0.74</v>
          </cell>
          <cell r="B95" t="str">
            <v>060610211071</v>
          </cell>
        </row>
        <row r="96">
          <cell r="A96">
            <v>3</v>
          </cell>
          <cell r="B96" t="str">
            <v>060610211072</v>
          </cell>
        </row>
        <row r="97">
          <cell r="A97">
            <v>0.27</v>
          </cell>
          <cell r="B97" t="str">
            <v>060610211081</v>
          </cell>
        </row>
        <row r="98">
          <cell r="A98">
            <v>0.41</v>
          </cell>
          <cell r="B98" t="str">
            <v>060610211082</v>
          </cell>
        </row>
        <row r="99">
          <cell r="A99">
            <v>2.12</v>
          </cell>
          <cell r="B99" t="str">
            <v>060610211091</v>
          </cell>
        </row>
        <row r="100">
          <cell r="A100">
            <v>9.51</v>
          </cell>
          <cell r="B100" t="str">
            <v>060610212001</v>
          </cell>
        </row>
        <row r="101">
          <cell r="A101">
            <v>3.86</v>
          </cell>
          <cell r="B101" t="str">
            <v>060610212002</v>
          </cell>
        </row>
        <row r="102">
          <cell r="A102">
            <v>1.39</v>
          </cell>
          <cell r="B102" t="str">
            <v>060610212003</v>
          </cell>
        </row>
        <row r="103">
          <cell r="A103">
            <v>2.61</v>
          </cell>
          <cell r="B103" t="str">
            <v>060610212004</v>
          </cell>
        </row>
        <row r="104">
          <cell r="A104">
            <v>0.89</v>
          </cell>
          <cell r="B104" t="str">
            <v>060610212005</v>
          </cell>
        </row>
        <row r="105">
          <cell r="A105">
            <v>45.98</v>
          </cell>
          <cell r="B105" t="str">
            <v>060610213011</v>
          </cell>
        </row>
        <row r="106">
          <cell r="A106">
            <v>67.400000000000006</v>
          </cell>
          <cell r="B106" t="str">
            <v>060610213012</v>
          </cell>
        </row>
        <row r="107">
          <cell r="A107">
            <v>16.79</v>
          </cell>
          <cell r="B107" t="str">
            <v>060610213031</v>
          </cell>
        </row>
        <row r="108">
          <cell r="A108">
            <v>38.5</v>
          </cell>
          <cell r="B108" t="str">
            <v>060610213041</v>
          </cell>
        </row>
        <row r="109">
          <cell r="A109">
            <v>19.36</v>
          </cell>
          <cell r="B109" t="str">
            <v>060610213042</v>
          </cell>
        </row>
        <row r="110">
          <cell r="A110">
            <v>8.77</v>
          </cell>
          <cell r="B110" t="str">
            <v>060610213043</v>
          </cell>
        </row>
        <row r="111">
          <cell r="A111">
            <v>10.87</v>
          </cell>
          <cell r="B111" t="str">
            <v>060610213044</v>
          </cell>
        </row>
        <row r="112">
          <cell r="A112">
            <v>0.62</v>
          </cell>
          <cell r="B112" t="str">
            <v>060610214011</v>
          </cell>
        </row>
        <row r="113">
          <cell r="A113">
            <v>0.27</v>
          </cell>
          <cell r="B113" t="str">
            <v>060610214012</v>
          </cell>
        </row>
        <row r="114">
          <cell r="A114">
            <v>0.19</v>
          </cell>
          <cell r="B114" t="str">
            <v>060610214013</v>
          </cell>
        </row>
        <row r="115">
          <cell r="A115">
            <v>0.26</v>
          </cell>
          <cell r="B115" t="str">
            <v>060610214021</v>
          </cell>
        </row>
        <row r="116">
          <cell r="A116">
            <v>0.24</v>
          </cell>
          <cell r="B116" t="str">
            <v>060610214022</v>
          </cell>
        </row>
        <row r="117">
          <cell r="A117">
            <v>0.42</v>
          </cell>
          <cell r="B117" t="str">
            <v>060610214023</v>
          </cell>
        </row>
        <row r="118">
          <cell r="A118">
            <v>1.68</v>
          </cell>
          <cell r="B118" t="str">
            <v>060610214024</v>
          </cell>
        </row>
        <row r="119">
          <cell r="A119">
            <v>4.33</v>
          </cell>
          <cell r="B119" t="str">
            <v>060610215011</v>
          </cell>
        </row>
        <row r="120">
          <cell r="A120">
            <v>2.56</v>
          </cell>
          <cell r="B120" t="str">
            <v>060610215012</v>
          </cell>
        </row>
        <row r="121">
          <cell r="A121">
            <v>3.84</v>
          </cell>
          <cell r="B121" t="str">
            <v>060610215013</v>
          </cell>
        </row>
        <row r="122">
          <cell r="A122">
            <v>0.99</v>
          </cell>
          <cell r="B122" t="str">
            <v>060610215021</v>
          </cell>
        </row>
        <row r="123">
          <cell r="A123">
            <v>1.83</v>
          </cell>
          <cell r="B123" t="str">
            <v>060610215022</v>
          </cell>
        </row>
        <row r="124">
          <cell r="A124">
            <v>25.41</v>
          </cell>
          <cell r="B124" t="str">
            <v>060610216001</v>
          </cell>
        </row>
        <row r="125">
          <cell r="A125">
            <v>11.68</v>
          </cell>
          <cell r="B125" t="str">
            <v>060610216002</v>
          </cell>
        </row>
        <row r="126">
          <cell r="A126">
            <v>1.1299999999999999</v>
          </cell>
          <cell r="B126" t="str">
            <v>060610216003</v>
          </cell>
        </row>
        <row r="127">
          <cell r="A127">
            <v>0.05</v>
          </cell>
          <cell r="B127" t="str">
            <v>060610216004</v>
          </cell>
        </row>
        <row r="128">
          <cell r="A128">
            <v>4.75</v>
          </cell>
          <cell r="B128" t="str">
            <v>060610218011</v>
          </cell>
        </row>
        <row r="129">
          <cell r="A129">
            <v>3.85</v>
          </cell>
          <cell r="B129" t="str">
            <v>060610218012</v>
          </cell>
        </row>
        <row r="130">
          <cell r="A130">
            <v>1.53</v>
          </cell>
          <cell r="B130" t="str">
            <v>060610218013</v>
          </cell>
        </row>
        <row r="131">
          <cell r="A131">
            <v>2.82</v>
          </cell>
          <cell r="B131" t="str">
            <v>060610218014</v>
          </cell>
        </row>
        <row r="132">
          <cell r="A132">
            <v>2.92</v>
          </cell>
          <cell r="B132" t="str">
            <v>060610218021</v>
          </cell>
        </row>
        <row r="133">
          <cell r="A133">
            <v>0.84</v>
          </cell>
          <cell r="B133" t="str">
            <v>060610218022</v>
          </cell>
        </row>
        <row r="134">
          <cell r="A134">
            <v>0.8</v>
          </cell>
          <cell r="B134" t="str">
            <v>060610218023</v>
          </cell>
        </row>
        <row r="135">
          <cell r="A135">
            <v>3.57</v>
          </cell>
          <cell r="B135" t="str">
            <v>060610218024</v>
          </cell>
        </row>
        <row r="136">
          <cell r="A136">
            <v>3.69</v>
          </cell>
          <cell r="B136" t="str">
            <v>060610219011</v>
          </cell>
        </row>
        <row r="137">
          <cell r="A137">
            <v>12.54</v>
          </cell>
          <cell r="B137" t="str">
            <v>060610219012</v>
          </cell>
        </row>
        <row r="138">
          <cell r="A138">
            <v>2.96</v>
          </cell>
          <cell r="B138" t="str">
            <v>060610219021</v>
          </cell>
        </row>
        <row r="139">
          <cell r="A139">
            <v>6.19</v>
          </cell>
          <cell r="B139" t="str">
            <v>060610219022</v>
          </cell>
        </row>
        <row r="140">
          <cell r="A140">
            <v>0.37</v>
          </cell>
          <cell r="B140" t="str">
            <v>060610219023</v>
          </cell>
        </row>
        <row r="141">
          <cell r="A141">
            <v>12.67</v>
          </cell>
          <cell r="B141" t="str">
            <v>060610220011</v>
          </cell>
        </row>
        <row r="142">
          <cell r="A142">
            <v>23.37</v>
          </cell>
          <cell r="B142" t="str">
            <v>060610220012</v>
          </cell>
        </row>
        <row r="143">
          <cell r="A143">
            <v>144.49</v>
          </cell>
          <cell r="B143" t="str">
            <v>060610220013</v>
          </cell>
        </row>
        <row r="144">
          <cell r="A144">
            <v>19.05</v>
          </cell>
          <cell r="B144" t="str">
            <v>060610220014</v>
          </cell>
        </row>
        <row r="145">
          <cell r="A145">
            <v>73.180000000000007</v>
          </cell>
          <cell r="B145" t="str">
            <v>060610220015</v>
          </cell>
        </row>
        <row r="146">
          <cell r="A146">
            <v>24.58</v>
          </cell>
          <cell r="B146" t="str">
            <v>060610220016</v>
          </cell>
        </row>
        <row r="147">
          <cell r="A147">
            <v>2.09</v>
          </cell>
          <cell r="B147" t="str">
            <v>060610220021</v>
          </cell>
        </row>
        <row r="148">
          <cell r="A148">
            <v>7.86</v>
          </cell>
          <cell r="B148" t="str">
            <v>060610220022</v>
          </cell>
        </row>
        <row r="149">
          <cell r="A149">
            <v>15.26</v>
          </cell>
          <cell r="B149" t="str">
            <v>060610220023</v>
          </cell>
        </row>
      </sheetData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Read Me"/>
      <sheetName val="Data Dictionary"/>
      <sheetName val="Operating Expenses by Function"/>
      <sheetName val="PeerVehOpCost"/>
      <sheetName val="Agency Total by Function"/>
      <sheetName val="Operating Expenses by Type"/>
      <sheetName val="Agency Total by Type"/>
      <sheetName val="Summary Tables by Function"/>
      <sheetName val="Summary Tables by Type"/>
      <sheetName val="NTD Vehicle expenses 201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Fixed Route System Summary"/>
      <sheetName val="ParaTransit System Summary"/>
      <sheetName val="Camp Richardson Summary"/>
      <sheetName val="Route20X"/>
      <sheetName val="Route 22"/>
      <sheetName val="Route 23"/>
      <sheetName val="Route 24"/>
      <sheetName val="Route 30"/>
      <sheetName val="Route 40"/>
      <sheetName val="Route 50"/>
      <sheetName val="Route 52"/>
      <sheetName val="Route 53"/>
      <sheetName val="Route54"/>
      <sheetName val="Route 55"/>
      <sheetName val="Route-Specials "/>
      <sheetName val="10-Red"/>
      <sheetName val="11-Orange"/>
      <sheetName val="12-Green"/>
      <sheetName val="13-Gold"/>
      <sheetName val="14-Purple"/>
      <sheetName val="15-Blue"/>
      <sheetName val="16-Violet"/>
      <sheetName val="17-Black"/>
      <sheetName val="Route #1"/>
      <sheetName val="Route #2"/>
      <sheetName val="Route #3"/>
      <sheetName val="Para 1A"/>
      <sheetName val="Para 1B"/>
      <sheetName val="Para 1C"/>
      <sheetName val="Para 2A"/>
      <sheetName val="Para 2B"/>
      <sheetName val="Para 2C"/>
      <sheetName val="Para 3A"/>
      <sheetName val="Para 3B"/>
      <sheetName val="Sheet3"/>
      <sheetName val="60-1"/>
      <sheetName val="60-2"/>
      <sheetName val="Special Trip"/>
      <sheetName val="Pax Definitions"/>
      <sheetName val="Time Conversion"/>
      <sheetName val="Days Schedule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>
        <row r="1">
          <cell r="A1">
            <v>1</v>
          </cell>
          <cell r="B1">
            <v>2</v>
          </cell>
          <cell r="C1">
            <v>3</v>
          </cell>
          <cell r="D1">
            <v>4</v>
          </cell>
          <cell r="E1">
            <v>5</v>
          </cell>
          <cell r="F1">
            <v>6</v>
          </cell>
          <cell r="G1">
            <v>7</v>
          </cell>
        </row>
        <row r="2">
          <cell r="A2" t="str">
            <v>Sunday</v>
          </cell>
          <cell r="B2" t="str">
            <v>Monday</v>
          </cell>
          <cell r="C2" t="str">
            <v>Tuesday</v>
          </cell>
          <cell r="D2" t="str">
            <v>Wednesday</v>
          </cell>
          <cell r="E2" t="str">
            <v>Thursday</v>
          </cell>
          <cell r="F2" t="str">
            <v>Friday</v>
          </cell>
          <cell r="G2" t="str">
            <v>Saturday</v>
          </cell>
        </row>
      </sheetData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1 Demographics"/>
      <sheetName val="Table 2 Visitor Data"/>
      <sheetName val="T3 Operator Summary table"/>
      <sheetName val="North Shore Tables&amp;figs&gt;&gt;&gt;"/>
      <sheetName val="T4 TART Fleet"/>
      <sheetName val="F4&amp;5 FR Hist Ridership by Route"/>
      <sheetName val="F6 FR Ridership by Rte by Mth"/>
      <sheetName val="F7 ADA Hist Ridership by Rou"/>
      <sheetName val="F8 HistRidership TART Connect"/>
      <sheetName val="f9&amp;10 VSH &amp; VSM TART FR"/>
      <sheetName val="f11&amp;12 VSH &amp; VSM TART DAR"/>
      <sheetName val="f13&amp;14 VSH &amp; VSM TART Connect"/>
      <sheetName val="T5-F15-18 TART 24-25 Perf"/>
      <sheetName val="TNT TMA BODSTAFF "/>
      <sheetName val="f19 TNT NLTE"/>
      <sheetName val="T6 TNTTMA Vanpool"/>
      <sheetName val="Table 7 TNTTMA SKI SHUTTLE"/>
      <sheetName val="Table 8 TNTTMA SumShuttle"/>
      <sheetName val="South Shore Tables&amp;Figs&gt;&gt;&gt;&gt;"/>
      <sheetName val="TTD BODSTAFF"/>
      <sheetName val="T9 TTD Fleet"/>
      <sheetName val="F21&amp;22 TTDFR Hist Ride"/>
      <sheetName val="F23 TTDFR # by Rte by mon"/>
      <sheetName val="F24 TTD ADA Hist Ridership"/>
      <sheetName val="f25&amp;26 VSH &amp; VSM TTD FR"/>
      <sheetName val="f27&amp;28 VSH &amp; VSM TTD DAR"/>
      <sheetName val="F29 LakeLinkHist Ridership"/>
      <sheetName val="f30&amp;31 VSH &amp; VSM LakeLink"/>
      <sheetName val="sstma vanpool"/>
      <sheetName val="T10 F32-35 TTD 24-25 Perf"/>
      <sheetName val="f36 ST Airporter"/>
      <sheetName val="Other&gt;&gt;&gt;&gt;"/>
      <sheetName val="T11-14 Funding Overview"/>
      <sheetName val="T15 Performance Summary"/>
      <sheetName val="T16 Peer Comparison Service"/>
      <sheetName val="RAW DATA&gt;&gt;&gt;&gt;&gt;&gt;&gt;&gt;&gt;"/>
      <sheetName val="demo research"/>
      <sheetName val="ltva NTCA Market Research data"/>
      <sheetName val="AADT CalNV"/>
      <sheetName val="TTD cost model 24-25"/>
      <sheetName val="TTD FY 24_25 Cost Model Actuals"/>
      <sheetName val="Sheet4"/>
      <sheetName val="TTD FY 25 Budget"/>
      <sheetName val="EDTAMtrak ridership"/>
      <sheetName val="TART cost model 24-25"/>
      <sheetName val="TART Survey Tables "/>
      <sheetName val="TTD Survey Tables"/>
      <sheetName val="TTD Data"/>
      <sheetName val="Rough Unmet Transit Needs"/>
      <sheetName val="Sheet3"/>
      <sheetName val="TART FR ridership Systems Plan"/>
      <sheetName val="TART Connectridership Systems P"/>
      <sheetName val="tart budget notes"/>
      <sheetName val="Admin_Ops Budget Breakdwn TT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4">
          <cell r="L24">
            <v>928480.84256594756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>
        <row r="14">
          <cell r="F14">
            <v>10747</v>
          </cell>
        </row>
      </sheetData>
      <sheetData sheetId="30"/>
      <sheetData sheetId="31"/>
      <sheetData sheetId="32">
        <row r="22">
          <cell r="D22">
            <v>2400000</v>
          </cell>
        </row>
      </sheetData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>
        <row r="44">
          <cell r="B44">
            <v>4003350</v>
          </cell>
        </row>
      </sheetData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Acadia Davis" id="{C2F7BCBE-6A50-4058-8D33-336D51200BFB}" userId="d24c214f47307655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9" dT="2026-07-07T17:33:52.71" personId="{C2F7BCBE-6A50-4058-8D33-336D51200BFB}" id="{E9195678-AAB1-4177-BF3D-8F3B2A8385E7}">
    <text>Vehicle turnover fixed - do not escalate</text>
  </threadedComment>
  <threadedComment ref="G9" dT="2026-07-07T17:34:54.27" personId="{C2F7BCBE-6A50-4058-8D33-336D51200BFB}" id="{EC60E938-EB66-458D-B5DB-EE15ABF9C1A0}">
    <text>Vehicle parking. Escalate by 3% / year</text>
  </threadedComment>
  <threadedComment ref="J9" dT="2026-07-07T17:51:54.08" personId="{C2F7BCBE-6A50-4058-8D33-336D51200BFB}" id="{2F465FF9-7893-4503-9EE0-B06950C46560}">
    <text>Variable plus fixed/vsh</text>
  </threadedComment>
  <threadedComment ref="J14" dT="2026-07-07T18:07:40.25" personId="{C2F7BCBE-6A50-4058-8D33-336D51200BFB}" id="{9EC66C54-B0A1-422B-B57E-678DBB282E8F}">
    <text>Total op cost/VSH calculated in EC memo plus inflation</text>
  </threadedComment>
  <threadedComment ref="D15" dT="2026-07-07T18:03:02.47" personId="{C2F7BCBE-6A50-4058-8D33-336D51200BFB}" id="{4866CEA9-54C1-49FF-AD6D-924AD480DE2B}">
    <text>Contract max for variable costs for YR3 divided by 24-25 VSH</text>
  </threadedComment>
  <threadedComment ref="D15" dT="2026-07-07T18:05:58.56" personId="{C2F7BCBE-6A50-4058-8D33-336D51200BFB}" id="{94300467-4E16-453F-A008-FC4684F56554}" parentId="{4866CEA9-54C1-49FF-AD6D-924AD480DE2B}">
    <text>Contract max: $1,480,267. Doesn’t add up to actuals of $4 million +….</text>
  </threadedComment>
  <threadedComment ref="F15" dT="2026-07-07T18:01:17.69" personId="{C2F7BCBE-6A50-4058-8D33-336D51200BFB}" id="{0F079C5B-E76F-4A7E-8BE9-E9EDF54F57C7}">
    <text>Contract max specified in contract</text>
  </threadedComment>
  <threadedComment ref="J15" dT="2026-07-07T17:52:17.06" personId="{C2F7BCBE-6A50-4058-8D33-336D51200BFB}" id="{C2AC24F8-DF8A-4D92-A285-9E3564DB45BB}">
    <text>Actuals for 24/25 plus inflation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2BAE2-498D-46C5-BCC4-9423F03F1C5D}">
  <sheetPr>
    <tabColor rgb="FF92D050"/>
  </sheetPr>
  <dimension ref="A1:Y33"/>
  <sheetViews>
    <sheetView workbookViewId="0">
      <selection activeCell="J7" sqref="J7"/>
    </sheetView>
  </sheetViews>
  <sheetFormatPr defaultRowHeight="14.4" x14ac:dyDescent="0.3"/>
  <cols>
    <col min="2" max="2" width="19.77734375" customWidth="1"/>
    <col min="3" max="3" width="11.44140625" customWidth="1"/>
    <col min="4" max="4" width="18.5546875" customWidth="1"/>
    <col min="6" max="6" width="12.21875" customWidth="1"/>
    <col min="7" max="7" width="10.77734375" bestFit="1" customWidth="1"/>
    <col min="8" max="9" width="10.77734375" customWidth="1"/>
    <col min="10" max="10" width="15.21875" customWidth="1"/>
    <col min="11" max="11" width="2.6640625" customWidth="1"/>
    <col min="24" max="25" width="12.109375" bestFit="1" customWidth="1"/>
  </cols>
  <sheetData>
    <row r="1" spans="1:25" x14ac:dyDescent="0.3">
      <c r="A1" s="38"/>
    </row>
    <row r="3" spans="1:25" x14ac:dyDescent="0.3">
      <c r="B3" s="31" t="s">
        <v>56</v>
      </c>
      <c r="C3" t="s">
        <v>57</v>
      </c>
    </row>
    <row r="5" spans="1:25" x14ac:dyDescent="0.3">
      <c r="B5" s="39" t="s">
        <v>58</v>
      </c>
      <c r="I5" s="78" t="s">
        <v>85</v>
      </c>
    </row>
    <row r="6" spans="1:25" x14ac:dyDescent="0.3">
      <c r="C6" t="s">
        <v>59</v>
      </c>
      <c r="D6" s="40" t="s">
        <v>60</v>
      </c>
      <c r="E6" s="40" t="s">
        <v>61</v>
      </c>
      <c r="F6" s="77" t="s">
        <v>62</v>
      </c>
      <c r="G6" s="77"/>
      <c r="H6" s="41"/>
      <c r="I6" s="79"/>
      <c r="J6" s="40" t="s">
        <v>63</v>
      </c>
      <c r="L6" t="s">
        <v>64</v>
      </c>
    </row>
    <row r="7" spans="1:25" x14ac:dyDescent="0.3">
      <c r="B7" t="s">
        <v>65</v>
      </c>
      <c r="C7" t="str">
        <f>D27</f>
        <v>TTDTTD</v>
      </c>
      <c r="D7" s="42">
        <v>123.17</v>
      </c>
      <c r="E7" s="43">
        <v>1.6</v>
      </c>
      <c r="F7" s="44">
        <v>2077415.1711924581</v>
      </c>
      <c r="G7" s="43"/>
      <c r="H7" s="43"/>
      <c r="I7" s="43"/>
      <c r="J7" s="43">
        <v>214.66</v>
      </c>
      <c r="K7" s="38"/>
      <c r="L7" t="s">
        <v>66</v>
      </c>
    </row>
    <row r="8" spans="1:25" x14ac:dyDescent="0.3">
      <c r="B8" t="s">
        <v>24</v>
      </c>
      <c r="C8" t="str">
        <f>D27</f>
        <v>TTDTTD</v>
      </c>
      <c r="D8" s="42">
        <f>D7</f>
        <v>123.17</v>
      </c>
      <c r="E8" s="42">
        <f>E7</f>
        <v>1.6</v>
      </c>
      <c r="F8" s="44"/>
      <c r="G8" s="43"/>
      <c r="H8" s="43"/>
      <c r="I8" s="43"/>
      <c r="J8" s="43">
        <f>J7</f>
        <v>214.66</v>
      </c>
      <c r="K8" s="38"/>
      <c r="L8" t="s">
        <v>66</v>
      </c>
    </row>
    <row r="9" spans="1:25" x14ac:dyDescent="0.3">
      <c r="B9" t="s">
        <v>6</v>
      </c>
      <c r="C9" t="str">
        <f>D29</f>
        <v>SSTMAVia</v>
      </c>
      <c r="D9" s="42">
        <v>65.23</v>
      </c>
      <c r="E9" s="43"/>
      <c r="F9" s="44">
        <v>43215</v>
      </c>
      <c r="G9" s="44">
        <v>27195</v>
      </c>
      <c r="H9" s="44">
        <f>90000+1650+840</f>
        <v>92490</v>
      </c>
      <c r="I9" s="44"/>
      <c r="J9" s="43">
        <v>68.7</v>
      </c>
      <c r="K9" s="38"/>
      <c r="L9" t="s">
        <v>67</v>
      </c>
    </row>
    <row r="10" spans="1:25" x14ac:dyDescent="0.3">
      <c r="B10" t="s">
        <v>68</v>
      </c>
      <c r="C10" t="str">
        <f>D28</f>
        <v>TTDVia</v>
      </c>
      <c r="D10" s="43"/>
      <c r="E10" s="43"/>
      <c r="F10" s="44"/>
      <c r="G10" s="43"/>
      <c r="H10" s="43"/>
      <c r="I10" s="43"/>
      <c r="J10" s="43">
        <v>147.80000000000001</v>
      </c>
    </row>
    <row r="11" spans="1:25" x14ac:dyDescent="0.3">
      <c r="D11" s="43"/>
      <c r="E11" s="43"/>
      <c r="F11" s="44"/>
      <c r="G11" s="43"/>
      <c r="H11" s="43"/>
      <c r="I11" s="43"/>
      <c r="J11" s="43"/>
    </row>
    <row r="12" spans="1:25" x14ac:dyDescent="0.3">
      <c r="B12" s="39" t="s">
        <v>69</v>
      </c>
      <c r="D12" s="43"/>
      <c r="E12" s="43"/>
      <c r="F12" s="44"/>
      <c r="G12" s="43"/>
      <c r="H12" s="43"/>
      <c r="I12" s="43"/>
      <c r="J12" s="43"/>
    </row>
    <row r="13" spans="1:25" x14ac:dyDescent="0.3">
      <c r="D13" s="43"/>
      <c r="E13" s="43"/>
      <c r="F13" s="44"/>
      <c r="G13" s="43"/>
      <c r="H13" s="43"/>
      <c r="I13" s="43"/>
      <c r="J13" s="43"/>
    </row>
    <row r="14" spans="1:25" x14ac:dyDescent="0.3">
      <c r="B14" t="s">
        <v>70</v>
      </c>
      <c r="C14" t="str">
        <f>D30</f>
        <v>TARTTART</v>
      </c>
      <c r="D14" s="43">
        <v>66.45</v>
      </c>
      <c r="E14" s="43">
        <v>1.7</v>
      </c>
      <c r="F14" s="44">
        <v>3188061.3269356806</v>
      </c>
      <c r="G14" s="43"/>
      <c r="H14" s="43"/>
      <c r="I14" s="43"/>
      <c r="J14" s="43">
        <v>185.83</v>
      </c>
      <c r="K14" s="38"/>
      <c r="L14" t="s">
        <v>71</v>
      </c>
      <c r="X14" t="s">
        <v>32</v>
      </c>
      <c r="Y14" t="s">
        <v>72</v>
      </c>
    </row>
    <row r="15" spans="1:25" x14ac:dyDescent="0.3">
      <c r="B15" t="s">
        <v>73</v>
      </c>
      <c r="C15" t="str">
        <f>D32</f>
        <v>TARTDowntowner</v>
      </c>
      <c r="D15" s="43">
        <v>46.56</v>
      </c>
      <c r="E15" s="43"/>
      <c r="F15" s="44">
        <v>1724488</v>
      </c>
      <c r="G15" s="43"/>
      <c r="H15" s="43"/>
      <c r="I15" s="43"/>
      <c r="J15" s="43">
        <v>107.23</v>
      </c>
      <c r="K15" s="38"/>
      <c r="L15" t="s">
        <v>74</v>
      </c>
      <c r="X15" s="7">
        <f>'[30]TART cost model 24-25'!$B$44</f>
        <v>4003350</v>
      </c>
      <c r="Y15" s="45">
        <f>X15*(1.05)^2</f>
        <v>4413693.375</v>
      </c>
    </row>
    <row r="16" spans="1:25" x14ac:dyDescent="0.3">
      <c r="B16" t="s">
        <v>75</v>
      </c>
      <c r="C16" t="str">
        <f>D31</f>
        <v>TARTTruckee</v>
      </c>
      <c r="D16" s="43">
        <v>127.77783520361685</v>
      </c>
      <c r="E16" s="43"/>
      <c r="F16" s="44">
        <v>9338.3477158400019</v>
      </c>
      <c r="G16" s="43"/>
      <c r="H16" s="43"/>
      <c r="I16" s="43"/>
      <c r="J16" s="43">
        <v>134.52932651755168</v>
      </c>
      <c r="K16" s="38"/>
      <c r="L16" t="s">
        <v>71</v>
      </c>
      <c r="X16" s="7"/>
      <c r="Y16" s="45"/>
    </row>
    <row r="17" spans="1:15" x14ac:dyDescent="0.3">
      <c r="D17" s="43"/>
      <c r="E17" s="43"/>
      <c r="F17" s="43"/>
      <c r="G17" s="43"/>
      <c r="H17" s="43"/>
      <c r="I17" s="43"/>
      <c r="J17" s="43"/>
    </row>
    <row r="18" spans="1:15" x14ac:dyDescent="0.3">
      <c r="A18" t="s">
        <v>76</v>
      </c>
      <c r="B18" t="s">
        <v>77</v>
      </c>
      <c r="D18" s="43"/>
      <c r="E18" s="43"/>
      <c r="F18" s="43"/>
      <c r="G18" s="43"/>
      <c r="H18" s="43"/>
      <c r="I18" s="43"/>
      <c r="J18" s="43">
        <f>284.34*(1+0.03)^2</f>
        <v>301.65630599999997</v>
      </c>
      <c r="K18" s="38"/>
      <c r="L18" t="s">
        <v>78</v>
      </c>
    </row>
    <row r="19" spans="1:15" x14ac:dyDescent="0.3">
      <c r="B19" t="s">
        <v>79</v>
      </c>
      <c r="D19" s="43"/>
      <c r="E19" s="43"/>
      <c r="F19" s="43"/>
      <c r="G19" s="43"/>
      <c r="H19" s="43"/>
      <c r="I19" s="43"/>
      <c r="J19" s="43">
        <f>96.85*(1+0.03)^2</f>
        <v>102.74816499999999</v>
      </c>
      <c r="K19" s="38"/>
      <c r="L19" t="s">
        <v>78</v>
      </c>
    </row>
    <row r="20" spans="1:15" x14ac:dyDescent="0.3">
      <c r="B20" t="s">
        <v>80</v>
      </c>
      <c r="C20" t="str">
        <f>D33</f>
        <v>TNTTMAMRTW</v>
      </c>
      <c r="D20" s="46"/>
      <c r="E20" s="46"/>
      <c r="F20" s="46"/>
      <c r="G20" s="46"/>
      <c r="H20" s="46"/>
      <c r="I20" s="46"/>
      <c r="J20" s="43">
        <f>195.13*(1.03)</f>
        <v>200.98390000000001</v>
      </c>
      <c r="L20" t="s">
        <v>81</v>
      </c>
    </row>
    <row r="21" spans="1:15" x14ac:dyDescent="0.3">
      <c r="B21" t="s">
        <v>82</v>
      </c>
      <c r="D21" s="46"/>
      <c r="E21" s="46"/>
      <c r="F21" s="46"/>
      <c r="G21" s="46"/>
      <c r="H21" s="46"/>
      <c r="I21" s="46"/>
      <c r="J21" s="43">
        <f>128.75*1.03</f>
        <v>132.61250000000001</v>
      </c>
      <c r="L21" t="s">
        <v>81</v>
      </c>
    </row>
    <row r="24" spans="1:15" x14ac:dyDescent="0.3">
      <c r="D24" s="38"/>
      <c r="H24" s="7">
        <f>SUM(F9:H9)</f>
        <v>162900</v>
      </c>
    </row>
    <row r="25" spans="1:15" x14ac:dyDescent="0.3">
      <c r="B25" t="s">
        <v>83</v>
      </c>
      <c r="D25" s="38"/>
    </row>
    <row r="27" spans="1:15" x14ac:dyDescent="0.3">
      <c r="B27" t="s">
        <v>9</v>
      </c>
      <c r="C27" t="s">
        <v>9</v>
      </c>
      <c r="D27" t="str">
        <f>CONCATENATE(B27,C27)</f>
        <v>TTDTTD</v>
      </c>
    </row>
    <row r="28" spans="1:15" x14ac:dyDescent="0.3">
      <c r="B28" t="s">
        <v>9</v>
      </c>
      <c r="C28" t="s">
        <v>33</v>
      </c>
      <c r="D28" t="str">
        <f>CONCATENATE(B28,C28)</f>
        <v>TTDVia</v>
      </c>
    </row>
    <row r="29" spans="1:15" x14ac:dyDescent="0.3">
      <c r="B29" t="s">
        <v>37</v>
      </c>
      <c r="C29" t="s">
        <v>33</v>
      </c>
      <c r="D29" t="str">
        <f>CONCATENATE(B29,C29)</f>
        <v>SSTMAVia</v>
      </c>
    </row>
    <row r="30" spans="1:15" x14ac:dyDescent="0.3">
      <c r="B30" t="s">
        <v>41</v>
      </c>
      <c r="C30" t="s">
        <v>41</v>
      </c>
      <c r="D30" t="str">
        <f t="shared" ref="D30:D33" si="0">CONCATENATE(B30,C30)</f>
        <v>TARTTART</v>
      </c>
      <c r="O30" t="s">
        <v>84</v>
      </c>
    </row>
    <row r="31" spans="1:15" x14ac:dyDescent="0.3">
      <c r="B31" t="s">
        <v>41</v>
      </c>
      <c r="C31" t="s">
        <v>46</v>
      </c>
      <c r="D31" t="str">
        <f t="shared" si="0"/>
        <v>TARTTruckee</v>
      </c>
    </row>
    <row r="32" spans="1:15" x14ac:dyDescent="0.3">
      <c r="B32" t="s">
        <v>41</v>
      </c>
      <c r="C32" t="s">
        <v>47</v>
      </c>
      <c r="D32" t="str">
        <f t="shared" si="0"/>
        <v>TARTDowntowner</v>
      </c>
    </row>
    <row r="33" spans="2:4" x14ac:dyDescent="0.3">
      <c r="B33" t="s">
        <v>49</v>
      </c>
      <c r="C33" t="s">
        <v>50</v>
      </c>
      <c r="D33" t="str">
        <f t="shared" si="0"/>
        <v>TNTTMAMRTW</v>
      </c>
    </row>
  </sheetData>
  <mergeCells count="2">
    <mergeCell ref="F6:G6"/>
    <mergeCell ref="I5:I6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C1E82-5355-4045-92D3-EC2EFB7AE74E}">
  <dimension ref="B1:X44"/>
  <sheetViews>
    <sheetView tabSelected="1" workbookViewId="0">
      <pane ySplit="3" topLeftCell="A4" activePane="bottomLeft" state="frozen"/>
      <selection pane="bottomLeft" activeCell="C25" sqref="C25"/>
    </sheetView>
  </sheetViews>
  <sheetFormatPr defaultRowHeight="14.4" x14ac:dyDescent="0.3"/>
  <cols>
    <col min="2" max="3" width="19.5546875" customWidth="1"/>
    <col min="4" max="4" width="24.5546875" customWidth="1"/>
    <col min="5" max="6" width="11.33203125" customWidth="1"/>
    <col min="7" max="7" width="11.88671875" hidden="1" customWidth="1"/>
    <col min="8" max="8" width="12.21875" customWidth="1"/>
    <col min="9" max="9" width="10" hidden="1" customWidth="1"/>
    <col min="10" max="10" width="12.77734375" customWidth="1"/>
    <col min="11" max="11" width="11.77734375" customWidth="1"/>
    <col min="12" max="12" width="14.33203125" customWidth="1"/>
    <col min="13" max="15" width="10" customWidth="1"/>
    <col min="16" max="16" width="17.5546875" customWidth="1"/>
    <col min="17" max="19" width="10" customWidth="1"/>
    <col min="20" max="20" width="12.44140625" customWidth="1"/>
    <col min="22" max="22" width="12.5546875" customWidth="1"/>
  </cols>
  <sheetData>
    <row r="1" spans="2:23" x14ac:dyDescent="0.3">
      <c r="O1" s="47" t="s">
        <v>91</v>
      </c>
      <c r="P1" s="48" t="s">
        <v>92</v>
      </c>
    </row>
    <row r="2" spans="2:23" x14ac:dyDescent="0.3">
      <c r="O2" s="49" t="s">
        <v>90</v>
      </c>
      <c r="P2" s="50" t="s">
        <v>95</v>
      </c>
    </row>
    <row r="3" spans="2:23" ht="43.2" x14ac:dyDescent="0.3">
      <c r="B3" s="58" t="s">
        <v>111</v>
      </c>
      <c r="C3" s="58" t="s">
        <v>112</v>
      </c>
      <c r="D3" s="58" t="s">
        <v>25</v>
      </c>
      <c r="E3" s="59" t="s">
        <v>26</v>
      </c>
      <c r="F3" s="59" t="s">
        <v>2</v>
      </c>
      <c r="G3" s="58" t="s">
        <v>27</v>
      </c>
      <c r="H3" s="58" t="s">
        <v>28</v>
      </c>
      <c r="I3" s="30" t="s">
        <v>29</v>
      </c>
      <c r="J3" s="30" t="s">
        <v>55</v>
      </c>
      <c r="K3" s="30" t="s">
        <v>96</v>
      </c>
      <c r="L3" s="30"/>
      <c r="M3" s="30"/>
      <c r="N3" s="30"/>
      <c r="O3" s="30"/>
      <c r="P3" s="30"/>
      <c r="Q3" s="30"/>
      <c r="R3" s="30"/>
      <c r="S3" s="30"/>
      <c r="T3" s="31" t="s">
        <v>30</v>
      </c>
      <c r="U3" s="31"/>
      <c r="W3" s="28" t="s">
        <v>98</v>
      </c>
    </row>
    <row r="4" spans="2:23" x14ac:dyDescent="0.3">
      <c r="B4" t="s">
        <v>102</v>
      </c>
      <c r="C4" t="s">
        <v>113</v>
      </c>
      <c r="D4" s="2" t="s">
        <v>31</v>
      </c>
      <c r="E4" s="2" t="s">
        <v>9</v>
      </c>
      <c r="F4" s="70" t="s">
        <v>9</v>
      </c>
      <c r="G4" s="57">
        <v>10747</v>
      </c>
      <c r="H4" s="71">
        <v>2250.4</v>
      </c>
      <c r="I4" s="54">
        <v>61381</v>
      </c>
      <c r="J4" s="53">
        <f t="shared" ref="J4:J24" si="0">VLOOKUP(F4,$V$31:$W$36,2,FALSE)</f>
        <v>214.66</v>
      </c>
      <c r="K4" s="7">
        <f>H4*J4</f>
        <v>483070.864</v>
      </c>
      <c r="L4" s="36"/>
      <c r="M4" s="36"/>
      <c r="N4" s="36"/>
      <c r="O4" s="36"/>
      <c r="P4" s="36"/>
      <c r="Q4" s="36"/>
      <c r="R4" s="36"/>
      <c r="S4" s="36"/>
      <c r="T4" s="32" t="s">
        <v>32</v>
      </c>
      <c r="W4" t="s">
        <v>99</v>
      </c>
    </row>
    <row r="5" spans="2:23" x14ac:dyDescent="0.3">
      <c r="B5" t="s">
        <v>102</v>
      </c>
      <c r="C5" t="s">
        <v>114</v>
      </c>
      <c r="D5" s="2">
        <v>22</v>
      </c>
      <c r="E5" s="2" t="s">
        <v>9</v>
      </c>
      <c r="F5" s="70" t="s">
        <v>9</v>
      </c>
      <c r="G5" s="57">
        <v>18457</v>
      </c>
      <c r="H5" s="71">
        <v>4409.6000000000004</v>
      </c>
      <c r="I5" s="54">
        <v>121654</v>
      </c>
      <c r="J5" s="53">
        <f t="shared" si="0"/>
        <v>214.66</v>
      </c>
      <c r="K5" s="7">
        <f t="shared" ref="K5:K24" si="1">H5*J5</f>
        <v>946564.73600000003</v>
      </c>
      <c r="L5" s="36"/>
      <c r="M5" s="36"/>
      <c r="N5" s="36"/>
      <c r="O5" s="36"/>
      <c r="P5" s="36"/>
      <c r="Q5" s="36"/>
      <c r="R5" s="36"/>
      <c r="S5" s="36"/>
      <c r="T5" s="32" t="s">
        <v>32</v>
      </c>
    </row>
    <row r="6" spans="2:23" x14ac:dyDescent="0.3">
      <c r="B6" t="s">
        <v>103</v>
      </c>
      <c r="C6" t="s">
        <v>115</v>
      </c>
      <c r="D6" s="2">
        <v>28</v>
      </c>
      <c r="E6" s="2" t="s">
        <v>9</v>
      </c>
      <c r="F6" s="70" t="s">
        <v>9</v>
      </c>
      <c r="G6" s="57">
        <v>24699</v>
      </c>
      <c r="H6" s="71">
        <v>1192.7</v>
      </c>
      <c r="I6" s="54">
        <v>22330</v>
      </c>
      <c r="J6" s="53">
        <f t="shared" si="0"/>
        <v>214.66</v>
      </c>
      <c r="K6" s="7">
        <f t="shared" si="1"/>
        <v>256024.98200000002</v>
      </c>
      <c r="L6" s="36"/>
      <c r="M6" s="36"/>
      <c r="N6" s="36"/>
      <c r="O6" s="36"/>
      <c r="P6" s="36"/>
      <c r="Q6" s="36"/>
      <c r="R6" s="36"/>
      <c r="S6" s="36"/>
      <c r="T6" s="32" t="s">
        <v>32</v>
      </c>
    </row>
    <row r="7" spans="2:23" x14ac:dyDescent="0.3">
      <c r="B7" t="s">
        <v>104</v>
      </c>
      <c r="C7" t="s">
        <v>116</v>
      </c>
      <c r="D7" s="2">
        <v>30</v>
      </c>
      <c r="E7" s="2" t="s">
        <v>9</v>
      </c>
      <c r="F7" s="70" t="s">
        <v>33</v>
      </c>
      <c r="G7" s="57">
        <v>10700</v>
      </c>
      <c r="H7" s="71">
        <v>3500</v>
      </c>
      <c r="I7" s="54">
        <v>9850</v>
      </c>
      <c r="J7" s="53">
        <f t="shared" si="0"/>
        <v>68.7</v>
      </c>
      <c r="K7" s="7">
        <f t="shared" si="1"/>
        <v>240450</v>
      </c>
      <c r="L7" s="36"/>
      <c r="M7" s="36"/>
      <c r="N7" s="36"/>
      <c r="O7" s="36"/>
      <c r="P7" s="36"/>
      <c r="Q7" s="36"/>
      <c r="R7" s="36"/>
      <c r="S7" s="36"/>
      <c r="T7" s="32" t="s">
        <v>34</v>
      </c>
      <c r="U7" t="s">
        <v>35</v>
      </c>
    </row>
    <row r="8" spans="2:23" x14ac:dyDescent="0.3">
      <c r="B8" t="s">
        <v>105</v>
      </c>
      <c r="C8" t="s">
        <v>117</v>
      </c>
      <c r="D8" s="2">
        <v>50</v>
      </c>
      <c r="E8" s="2" t="s">
        <v>9</v>
      </c>
      <c r="F8" s="70" t="s">
        <v>9</v>
      </c>
      <c r="G8" s="57">
        <v>170332</v>
      </c>
      <c r="H8" s="71">
        <v>9418.6</v>
      </c>
      <c r="I8" s="54">
        <v>134562</v>
      </c>
      <c r="J8" s="53">
        <f t="shared" si="0"/>
        <v>214.66</v>
      </c>
      <c r="K8" s="7">
        <f t="shared" si="1"/>
        <v>2021796.676</v>
      </c>
      <c r="L8" s="36"/>
      <c r="M8" s="36"/>
      <c r="N8" s="36"/>
      <c r="O8" s="36"/>
      <c r="P8" s="36"/>
      <c r="Q8" s="36"/>
      <c r="R8" s="36"/>
      <c r="S8" s="36"/>
      <c r="T8" s="32" t="s">
        <v>32</v>
      </c>
    </row>
    <row r="9" spans="2:23" x14ac:dyDescent="0.3">
      <c r="B9" t="s">
        <v>105</v>
      </c>
      <c r="C9" t="s">
        <v>117</v>
      </c>
      <c r="D9" s="2">
        <v>51</v>
      </c>
      <c r="E9" s="2" t="s">
        <v>9</v>
      </c>
      <c r="F9" s="70" t="s">
        <v>9</v>
      </c>
      <c r="G9" s="57">
        <v>115</v>
      </c>
      <c r="H9" s="71">
        <v>167</v>
      </c>
      <c r="I9" s="54">
        <v>1700</v>
      </c>
      <c r="J9" s="53">
        <f t="shared" si="0"/>
        <v>214.66</v>
      </c>
      <c r="K9" s="7">
        <f t="shared" si="1"/>
        <v>35848.22</v>
      </c>
      <c r="L9" s="36"/>
      <c r="M9" s="36"/>
      <c r="N9" s="36"/>
      <c r="O9" s="36"/>
      <c r="P9" s="36"/>
      <c r="Q9" s="36"/>
      <c r="R9" s="36"/>
      <c r="S9" s="36"/>
      <c r="T9" s="32" t="s">
        <v>32</v>
      </c>
    </row>
    <row r="10" spans="2:23" x14ac:dyDescent="0.3">
      <c r="B10" t="s">
        <v>106</v>
      </c>
      <c r="C10" t="s">
        <v>118</v>
      </c>
      <c r="D10" s="2">
        <v>55</v>
      </c>
      <c r="E10" s="2" t="s">
        <v>9</v>
      </c>
      <c r="F10" s="70" t="s">
        <v>9</v>
      </c>
      <c r="G10" s="57">
        <v>55609</v>
      </c>
      <c r="H10" s="71">
        <v>9312.2000000000007</v>
      </c>
      <c r="I10" s="54">
        <v>111689</v>
      </c>
      <c r="J10" s="53">
        <f t="shared" si="0"/>
        <v>214.66</v>
      </c>
      <c r="K10" s="7">
        <f t="shared" si="1"/>
        <v>1998956.8520000002</v>
      </c>
      <c r="L10" s="36"/>
      <c r="M10" s="36"/>
      <c r="N10" s="36"/>
      <c r="O10" s="36"/>
      <c r="P10" s="36"/>
      <c r="Q10" s="36"/>
      <c r="R10" s="36"/>
      <c r="S10" s="36"/>
      <c r="T10" s="32" t="s">
        <v>32</v>
      </c>
    </row>
    <row r="11" spans="2:23" x14ac:dyDescent="0.3">
      <c r="B11" t="s">
        <v>107</v>
      </c>
      <c r="D11" s="2" t="s">
        <v>36</v>
      </c>
      <c r="E11" s="2" t="s">
        <v>9</v>
      </c>
      <c r="F11" s="70" t="s">
        <v>9</v>
      </c>
      <c r="G11" s="57">
        <v>14556</v>
      </c>
      <c r="H11" s="71">
        <v>5429</v>
      </c>
      <c r="I11" s="54">
        <v>71677</v>
      </c>
      <c r="J11" s="53">
        <f t="shared" si="0"/>
        <v>214.66</v>
      </c>
      <c r="K11" s="7">
        <f t="shared" si="1"/>
        <v>1165389.1399999999</v>
      </c>
      <c r="L11" s="36"/>
      <c r="M11" s="36"/>
      <c r="N11" s="36"/>
      <c r="O11" s="36"/>
      <c r="P11" s="36"/>
      <c r="Q11" s="36"/>
      <c r="R11" s="36"/>
      <c r="S11" s="36"/>
      <c r="T11" s="32" t="s">
        <v>32</v>
      </c>
    </row>
    <row r="12" spans="2:23" x14ac:dyDescent="0.3">
      <c r="B12" t="s">
        <v>107</v>
      </c>
      <c r="C12" t="s">
        <v>119</v>
      </c>
      <c r="D12" s="2" t="s">
        <v>6</v>
      </c>
      <c r="E12" s="2" t="s">
        <v>37</v>
      </c>
      <c r="F12" s="70" t="s">
        <v>33</v>
      </c>
      <c r="G12" s="57">
        <v>223047</v>
      </c>
      <c r="H12" s="71">
        <v>47002</v>
      </c>
      <c r="I12" s="54">
        <v>366322</v>
      </c>
      <c r="J12" s="53">
        <f t="shared" si="0"/>
        <v>68.7</v>
      </c>
      <c r="K12" s="7">
        <f t="shared" si="1"/>
        <v>3229037.4</v>
      </c>
      <c r="L12" s="36"/>
      <c r="M12" s="36"/>
      <c r="N12" s="36"/>
      <c r="O12" s="36"/>
      <c r="P12" s="36"/>
      <c r="Q12" s="36"/>
      <c r="R12" s="36"/>
      <c r="S12" s="36"/>
      <c r="T12" s="32" t="s">
        <v>38</v>
      </c>
      <c r="U12" t="s">
        <v>39</v>
      </c>
    </row>
    <row r="13" spans="2:23" x14ac:dyDescent="0.3">
      <c r="B13" t="s">
        <v>108</v>
      </c>
      <c r="C13" t="s">
        <v>11</v>
      </c>
      <c r="D13" s="2" t="s">
        <v>40</v>
      </c>
      <c r="E13" s="2" t="s">
        <v>41</v>
      </c>
      <c r="F13" s="70" t="s">
        <v>41</v>
      </c>
      <c r="G13" s="57">
        <v>21205</v>
      </c>
      <c r="H13" s="71">
        <v>4237.5</v>
      </c>
      <c r="I13" s="54">
        <v>82391.099999999977</v>
      </c>
      <c r="J13" s="53">
        <f t="shared" si="0"/>
        <v>185.83</v>
      </c>
      <c r="K13" s="7">
        <f t="shared" si="1"/>
        <v>787454.625</v>
      </c>
      <c r="L13" s="36"/>
      <c r="M13" s="36"/>
      <c r="N13" s="36"/>
      <c r="O13" s="36"/>
      <c r="P13" s="36"/>
      <c r="Q13" s="36"/>
      <c r="R13" s="36"/>
      <c r="S13" s="36"/>
      <c r="T13" s="32" t="s">
        <v>38</v>
      </c>
    </row>
    <row r="14" spans="2:23" x14ac:dyDescent="0.3">
      <c r="B14" t="s">
        <v>109</v>
      </c>
      <c r="C14" t="s">
        <v>11</v>
      </c>
      <c r="D14" s="2" t="s">
        <v>42</v>
      </c>
      <c r="E14" s="2" t="s">
        <v>41</v>
      </c>
      <c r="F14" s="70" t="s">
        <v>41</v>
      </c>
      <c r="G14" s="57">
        <v>92011</v>
      </c>
      <c r="H14" s="71">
        <v>4983.5</v>
      </c>
      <c r="I14" s="54">
        <v>113132.10000000002</v>
      </c>
      <c r="J14" s="53">
        <f t="shared" si="0"/>
        <v>185.83</v>
      </c>
      <c r="K14" s="7">
        <f t="shared" si="1"/>
        <v>926083.80500000005</v>
      </c>
      <c r="L14" s="36"/>
      <c r="M14" s="36"/>
      <c r="N14" s="36"/>
      <c r="O14" s="36"/>
      <c r="P14" s="36"/>
      <c r="Q14" s="36"/>
      <c r="R14" s="36"/>
      <c r="S14" s="36"/>
      <c r="T14" s="32" t="s">
        <v>38</v>
      </c>
    </row>
    <row r="15" spans="2:23" x14ac:dyDescent="0.3">
      <c r="B15" t="s">
        <v>110</v>
      </c>
      <c r="C15" t="s">
        <v>115</v>
      </c>
      <c r="D15" s="2" t="s">
        <v>43</v>
      </c>
      <c r="E15" s="2" t="s">
        <v>41</v>
      </c>
      <c r="F15" s="70" t="s">
        <v>41</v>
      </c>
      <c r="G15" s="57">
        <v>34977</v>
      </c>
      <c r="H15" s="71">
        <v>4219.3125</v>
      </c>
      <c r="I15" s="54">
        <v>63697</v>
      </c>
      <c r="J15" s="53">
        <f t="shared" si="0"/>
        <v>185.83</v>
      </c>
      <c r="K15" s="7">
        <f t="shared" si="1"/>
        <v>784074.84187500004</v>
      </c>
      <c r="L15" s="36"/>
      <c r="M15" s="36"/>
      <c r="N15" s="36"/>
      <c r="O15" s="36"/>
      <c r="P15" s="36"/>
      <c r="Q15" s="36"/>
      <c r="R15" s="36"/>
      <c r="S15" s="36"/>
      <c r="T15" s="32" t="s">
        <v>38</v>
      </c>
    </row>
    <row r="16" spans="2:23" x14ac:dyDescent="0.3">
      <c r="B16" t="s">
        <v>109</v>
      </c>
      <c r="C16" t="s">
        <v>11</v>
      </c>
      <c r="D16" s="2" t="s">
        <v>44</v>
      </c>
      <c r="E16" s="2" t="s">
        <v>41</v>
      </c>
      <c r="F16" s="70" t="s">
        <v>41</v>
      </c>
      <c r="G16" s="57">
        <f>SUM(G13:G15)</f>
        <v>148193</v>
      </c>
      <c r="H16" s="71">
        <f t="shared" ref="H16:I16" si="2">SUM(H13:H15)</f>
        <v>13440.3125</v>
      </c>
      <c r="I16" s="55">
        <f t="shared" si="2"/>
        <v>259220.2</v>
      </c>
      <c r="J16" s="53">
        <f t="shared" si="0"/>
        <v>185.83</v>
      </c>
      <c r="K16" s="7">
        <f t="shared" si="1"/>
        <v>2497613.2718750001</v>
      </c>
      <c r="L16" s="36"/>
      <c r="M16" s="36"/>
      <c r="N16" s="36"/>
      <c r="O16" s="36"/>
      <c r="P16" s="36"/>
      <c r="Q16" s="36"/>
      <c r="R16" s="36"/>
      <c r="S16" s="36"/>
      <c r="T16" s="33"/>
      <c r="U16" s="34"/>
    </row>
    <row r="17" spans="2:23" x14ac:dyDescent="0.3">
      <c r="B17" t="s">
        <v>109</v>
      </c>
      <c r="C17" t="s">
        <v>120</v>
      </c>
      <c r="D17" s="2">
        <v>89</v>
      </c>
      <c r="E17" s="2" t="s">
        <v>41</v>
      </c>
      <c r="F17" s="70" t="s">
        <v>41</v>
      </c>
      <c r="G17" s="57">
        <v>71136</v>
      </c>
      <c r="H17" s="71">
        <v>8331.75</v>
      </c>
      <c r="I17" s="54">
        <v>167948.69999999998</v>
      </c>
      <c r="J17" s="53">
        <f t="shared" si="0"/>
        <v>185.83</v>
      </c>
      <c r="K17" s="7">
        <f t="shared" si="1"/>
        <v>1548289.1025</v>
      </c>
      <c r="L17" s="36"/>
      <c r="M17" s="36"/>
      <c r="N17" s="36"/>
      <c r="O17" s="36"/>
      <c r="P17" s="36"/>
      <c r="Q17" s="36"/>
      <c r="R17" s="36"/>
      <c r="S17" s="36"/>
      <c r="T17" s="32" t="s">
        <v>38</v>
      </c>
    </row>
    <row r="18" spans="2:23" x14ac:dyDescent="0.3">
      <c r="B18" t="s">
        <v>109</v>
      </c>
      <c r="C18" t="s">
        <v>120</v>
      </c>
      <c r="D18" s="2">
        <v>267</v>
      </c>
      <c r="E18" s="2" t="s">
        <v>41</v>
      </c>
      <c r="F18" s="70" t="s">
        <v>41</v>
      </c>
      <c r="G18" s="57">
        <v>73556</v>
      </c>
      <c r="H18" s="71">
        <v>8420.2333333333336</v>
      </c>
      <c r="I18" s="54">
        <v>176999.30000000002</v>
      </c>
      <c r="J18" s="53">
        <f t="shared" si="0"/>
        <v>185.83</v>
      </c>
      <c r="K18" s="7">
        <f t="shared" si="1"/>
        <v>1564731.9603333336</v>
      </c>
      <c r="L18" s="36"/>
      <c r="M18" s="36"/>
      <c r="N18" s="36"/>
      <c r="O18" s="36"/>
      <c r="P18" s="36"/>
      <c r="Q18" s="36"/>
      <c r="R18" s="36"/>
      <c r="S18" s="36"/>
      <c r="T18" s="32" t="s">
        <v>38</v>
      </c>
    </row>
    <row r="19" spans="2:23" x14ac:dyDescent="0.3">
      <c r="B19" t="s">
        <v>109</v>
      </c>
      <c r="C19" t="s">
        <v>11</v>
      </c>
      <c r="D19" s="2" t="s">
        <v>45</v>
      </c>
      <c r="E19" s="2" t="s">
        <v>41</v>
      </c>
      <c r="F19" s="70" t="s">
        <v>41</v>
      </c>
      <c r="G19" s="57">
        <v>4725</v>
      </c>
      <c r="H19" s="71">
        <v>2985</v>
      </c>
      <c r="I19" s="54">
        <v>57781.19999999999</v>
      </c>
      <c r="J19" s="53">
        <f t="shared" si="0"/>
        <v>185.83</v>
      </c>
      <c r="K19" s="7">
        <f t="shared" si="1"/>
        <v>554702.55000000005</v>
      </c>
      <c r="L19" s="36"/>
      <c r="M19" s="36"/>
      <c r="N19" s="36"/>
      <c r="O19" s="36"/>
      <c r="P19" s="36"/>
      <c r="Q19" s="36"/>
      <c r="R19" s="36"/>
      <c r="S19" s="36"/>
      <c r="T19" s="32" t="s">
        <v>38</v>
      </c>
    </row>
    <row r="20" spans="2:23" x14ac:dyDescent="0.3">
      <c r="B20" t="s">
        <v>109</v>
      </c>
      <c r="D20" s="2" t="s">
        <v>36</v>
      </c>
      <c r="E20" s="2" t="s">
        <v>41</v>
      </c>
      <c r="F20" s="70" t="s">
        <v>46</v>
      </c>
      <c r="G20" s="57">
        <v>3573</v>
      </c>
      <c r="H20" s="71">
        <v>1951.6499999999996</v>
      </c>
      <c r="I20" s="54">
        <v>34749</v>
      </c>
      <c r="J20" s="53">
        <f t="shared" si="0"/>
        <v>134.52932651755168</v>
      </c>
      <c r="K20" s="7">
        <f t="shared" si="1"/>
        <v>262554.16009797971</v>
      </c>
      <c r="L20" s="36"/>
      <c r="M20" s="36"/>
      <c r="N20" s="36"/>
      <c r="O20" s="36"/>
      <c r="P20" s="36"/>
      <c r="Q20" s="36"/>
      <c r="R20" s="36"/>
      <c r="S20" s="36"/>
      <c r="T20" s="32" t="s">
        <v>38</v>
      </c>
    </row>
    <row r="21" spans="2:23" x14ac:dyDescent="0.3">
      <c r="B21" t="s">
        <v>109</v>
      </c>
      <c r="C21" t="s">
        <v>11</v>
      </c>
      <c r="D21" s="2" t="s">
        <v>101</v>
      </c>
      <c r="E21" s="2" t="s">
        <v>41</v>
      </c>
      <c r="F21" s="48" t="s">
        <v>93</v>
      </c>
      <c r="G21" s="57">
        <v>157369</v>
      </c>
      <c r="H21" s="71">
        <v>27342.510000000006</v>
      </c>
      <c r="I21" s="54">
        <v>544888.71000000031</v>
      </c>
      <c r="J21" s="53">
        <f t="shared" si="0"/>
        <v>107.23</v>
      </c>
      <c r="K21" s="7">
        <f t="shared" si="1"/>
        <v>2931937.3473000005</v>
      </c>
      <c r="L21" s="36"/>
      <c r="M21" s="36"/>
      <c r="N21" s="36"/>
      <c r="O21" s="36"/>
      <c r="P21" s="36"/>
      <c r="Q21" s="36"/>
      <c r="R21" s="36"/>
      <c r="S21" s="36"/>
      <c r="T21" s="32" t="s">
        <v>38</v>
      </c>
    </row>
    <row r="22" spans="2:23" x14ac:dyDescent="0.3">
      <c r="B22" t="s">
        <v>109</v>
      </c>
      <c r="C22" t="s">
        <v>120</v>
      </c>
      <c r="D22" s="2" t="s">
        <v>48</v>
      </c>
      <c r="E22" s="2" t="s">
        <v>49</v>
      </c>
      <c r="F22" s="70" t="s">
        <v>50</v>
      </c>
      <c r="G22" s="57"/>
      <c r="H22" s="71">
        <v>2500</v>
      </c>
      <c r="I22" s="56"/>
      <c r="J22" s="53">
        <f t="shared" si="0"/>
        <v>200.98390000000001</v>
      </c>
      <c r="K22" s="7">
        <f t="shared" si="1"/>
        <v>502459.75</v>
      </c>
      <c r="L22" s="37"/>
      <c r="M22" s="37"/>
      <c r="N22" s="37"/>
      <c r="O22" s="37"/>
      <c r="P22" s="37"/>
      <c r="Q22" s="37"/>
      <c r="R22" s="37"/>
      <c r="S22" s="37"/>
      <c r="T22" s="32"/>
      <c r="U22" t="s">
        <v>51</v>
      </c>
    </row>
    <row r="23" spans="2:23" x14ac:dyDescent="0.3">
      <c r="B23" t="s">
        <v>109</v>
      </c>
      <c r="C23" t="s">
        <v>120</v>
      </c>
      <c r="D23" s="2" t="s">
        <v>52</v>
      </c>
      <c r="E23" s="2" t="s">
        <v>49</v>
      </c>
      <c r="F23" s="70" t="s">
        <v>50</v>
      </c>
      <c r="G23" s="57"/>
      <c r="H23" s="71">
        <v>500</v>
      </c>
      <c r="I23" s="56"/>
      <c r="J23" s="53">
        <f t="shared" si="0"/>
        <v>200.98390000000001</v>
      </c>
      <c r="K23" s="7">
        <f t="shared" si="1"/>
        <v>100491.95</v>
      </c>
      <c r="L23" s="37"/>
      <c r="M23" s="37"/>
      <c r="N23" s="37"/>
      <c r="O23" s="37"/>
      <c r="P23" s="37"/>
      <c r="Q23" s="37"/>
      <c r="R23" s="37"/>
      <c r="S23" s="37"/>
      <c r="T23" s="32"/>
      <c r="U23" t="s">
        <v>51</v>
      </c>
    </row>
    <row r="24" spans="2:23" x14ac:dyDescent="0.3">
      <c r="B24" t="s">
        <v>107</v>
      </c>
      <c r="C24" t="s">
        <v>121</v>
      </c>
      <c r="D24" s="2" t="s">
        <v>53</v>
      </c>
      <c r="E24" s="2" t="s">
        <v>49</v>
      </c>
      <c r="F24" s="70" t="s">
        <v>50</v>
      </c>
      <c r="G24" s="57"/>
      <c r="H24" s="71">
        <v>1200</v>
      </c>
      <c r="I24" s="56"/>
      <c r="J24" s="53">
        <f t="shared" si="0"/>
        <v>200.98390000000001</v>
      </c>
      <c r="K24" s="7">
        <f t="shared" si="1"/>
        <v>241180.68</v>
      </c>
      <c r="L24" s="37"/>
      <c r="M24" s="37"/>
      <c r="N24" s="37"/>
      <c r="O24" s="37"/>
      <c r="P24" s="37"/>
      <c r="Q24" s="37"/>
      <c r="R24" s="37"/>
      <c r="S24" s="37"/>
      <c r="T24" s="32"/>
      <c r="U24" t="s">
        <v>54</v>
      </c>
    </row>
    <row r="25" spans="2:23" x14ac:dyDescent="0.3">
      <c r="D25" s="76" t="s">
        <v>94</v>
      </c>
      <c r="E25" s="76"/>
      <c r="F25" s="70"/>
      <c r="G25" s="57"/>
      <c r="H25" s="71"/>
      <c r="I25" s="35"/>
      <c r="J25" s="52"/>
      <c r="K25" s="72">
        <f>SUM(K4:K24)</f>
        <v>23078712.913981311</v>
      </c>
      <c r="L25" s="73"/>
      <c r="M25" s="37"/>
      <c r="N25" s="37"/>
      <c r="O25" s="37"/>
      <c r="P25" s="37"/>
      <c r="Q25" s="37"/>
      <c r="R25" s="37"/>
      <c r="S25" s="37"/>
      <c r="T25" s="32"/>
    </row>
    <row r="27" spans="2:23" x14ac:dyDescent="0.3">
      <c r="D27" s="51"/>
      <c r="E27" s="69"/>
      <c r="F27" s="69"/>
      <c r="G27" s="69"/>
      <c r="H27" s="69"/>
      <c r="I27" s="69"/>
      <c r="J27" s="69"/>
    </row>
    <row r="28" spans="2:23" x14ac:dyDescent="0.3">
      <c r="D28" s="2"/>
      <c r="K28" s="7"/>
    </row>
    <row r="29" spans="2:23" ht="15" thickBot="1" x14ac:dyDescent="0.35">
      <c r="D29" s="2"/>
      <c r="K29" s="7"/>
    </row>
    <row r="30" spans="2:23" ht="46.95" customHeight="1" thickBot="1" x14ac:dyDescent="0.35">
      <c r="D30" s="2"/>
      <c r="K30" s="7"/>
      <c r="V30" s="74" t="s">
        <v>97</v>
      </c>
      <c r="W30" s="75"/>
    </row>
    <row r="31" spans="2:23" x14ac:dyDescent="0.3">
      <c r="D31" s="2"/>
      <c r="K31" s="7"/>
      <c r="V31" s="6" t="s">
        <v>9</v>
      </c>
      <c r="W31" s="9">
        <f>+'VRH Rates'!J7</f>
        <v>214.66</v>
      </c>
    </row>
    <row r="32" spans="2:23" x14ac:dyDescent="0.3">
      <c r="D32" s="2"/>
      <c r="K32" s="7"/>
      <c r="V32" s="3" t="s">
        <v>33</v>
      </c>
      <c r="W32" s="10">
        <f>+'VRH Rates'!J9</f>
        <v>68.7</v>
      </c>
    </row>
    <row r="33" spans="4:24" x14ac:dyDescent="0.3">
      <c r="D33" s="2"/>
      <c r="V33" s="3" t="s">
        <v>41</v>
      </c>
      <c r="W33" s="10">
        <f>+'VRH Rates'!J14</f>
        <v>185.83</v>
      </c>
    </row>
    <row r="34" spans="4:24" x14ac:dyDescent="0.3">
      <c r="D34" s="59"/>
      <c r="K34" s="72"/>
      <c r="V34" s="3" t="s">
        <v>93</v>
      </c>
      <c r="W34" s="10">
        <f>+'VRH Rates'!J15</f>
        <v>107.23</v>
      </c>
    </row>
    <row r="35" spans="4:24" x14ac:dyDescent="0.3">
      <c r="V35" s="3" t="s">
        <v>50</v>
      </c>
      <c r="W35" s="10">
        <f>+'VRH Rates'!J20</f>
        <v>200.98390000000001</v>
      </c>
      <c r="X35" t="s">
        <v>100</v>
      </c>
    </row>
    <row r="36" spans="4:24" ht="15" thickBot="1" x14ac:dyDescent="0.35">
      <c r="V36" s="5" t="s">
        <v>46</v>
      </c>
      <c r="W36" s="11">
        <f>+'VRH Rates'!J16</f>
        <v>134.52932651755168</v>
      </c>
    </row>
    <row r="40" spans="4:24" x14ac:dyDescent="0.3">
      <c r="O40" s="60"/>
      <c r="P40" s="61" t="s">
        <v>86</v>
      </c>
      <c r="Q40" s="61"/>
      <c r="R40" s="61"/>
      <c r="S40" s="62"/>
    </row>
    <row r="41" spans="4:24" x14ac:dyDescent="0.3">
      <c r="O41" s="63" t="s">
        <v>87</v>
      </c>
      <c r="P41" s="64">
        <v>4444985.376213897</v>
      </c>
      <c r="S41" s="65"/>
    </row>
    <row r="42" spans="4:24" x14ac:dyDescent="0.3">
      <c r="O42" s="63" t="s">
        <v>88</v>
      </c>
      <c r="P42" s="64">
        <f>P41*(1.03)^2</f>
        <v>4715684.9856253229</v>
      </c>
      <c r="S42" s="65"/>
    </row>
    <row r="43" spans="4:24" x14ac:dyDescent="0.3">
      <c r="O43" s="63"/>
      <c r="S43" s="65"/>
    </row>
    <row r="44" spans="4:24" x14ac:dyDescent="0.3">
      <c r="O44" s="66" t="s">
        <v>89</v>
      </c>
      <c r="P44" s="67">
        <v>32225</v>
      </c>
      <c r="Q44" s="40"/>
      <c r="R44" s="40"/>
      <c r="S44" s="68"/>
    </row>
  </sheetData>
  <mergeCells count="2">
    <mergeCell ref="V30:W30"/>
    <mergeCell ref="D25:E2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B1673-A1F8-48C5-98C5-2F412AF69997}">
  <dimension ref="E1:N36"/>
  <sheetViews>
    <sheetView topLeftCell="A4" workbookViewId="0">
      <selection activeCell="H8" sqref="H8"/>
    </sheetView>
  </sheetViews>
  <sheetFormatPr defaultRowHeight="14.4" x14ac:dyDescent="0.3"/>
  <cols>
    <col min="5" max="11" width="18.44140625" customWidth="1"/>
    <col min="13" max="13" width="21.21875" customWidth="1"/>
  </cols>
  <sheetData>
    <row r="1" spans="5:11" ht="15" thickBot="1" x14ac:dyDescent="0.35"/>
    <row r="2" spans="5:11" ht="18" x14ac:dyDescent="0.35">
      <c r="E2" s="12" t="s">
        <v>16</v>
      </c>
      <c r="F2" s="13"/>
      <c r="G2" s="13"/>
      <c r="H2" s="13"/>
      <c r="I2" s="13"/>
      <c r="J2" s="14"/>
    </row>
    <row r="3" spans="5:11" x14ac:dyDescent="0.3">
      <c r="E3" s="3"/>
      <c r="J3" s="4"/>
    </row>
    <row r="4" spans="5:11" x14ac:dyDescent="0.3">
      <c r="E4" s="27" t="s">
        <v>15</v>
      </c>
      <c r="J4" s="4"/>
    </row>
    <row r="5" spans="5:11" x14ac:dyDescent="0.3">
      <c r="E5" s="26" t="s">
        <v>19</v>
      </c>
      <c r="J5" s="4"/>
    </row>
    <row r="6" spans="5:11" x14ac:dyDescent="0.3">
      <c r="E6" s="3"/>
      <c r="J6" s="4"/>
    </row>
    <row r="7" spans="5:11" ht="43.2" x14ac:dyDescent="0.3">
      <c r="E7" s="15" t="s">
        <v>0</v>
      </c>
      <c r="F7" s="1" t="s">
        <v>1</v>
      </c>
      <c r="G7" s="1" t="s">
        <v>2</v>
      </c>
      <c r="H7" s="1" t="s">
        <v>3</v>
      </c>
      <c r="I7" s="1" t="s">
        <v>4</v>
      </c>
      <c r="J7" s="16" t="s">
        <v>17</v>
      </c>
      <c r="K7" s="1"/>
    </row>
    <row r="8" spans="5:11" x14ac:dyDescent="0.3">
      <c r="E8" s="3" t="s">
        <v>5</v>
      </c>
      <c r="F8" s="29">
        <v>9400</v>
      </c>
      <c r="G8" s="18" t="s">
        <v>9</v>
      </c>
      <c r="H8" s="19">
        <f>VLOOKUP(G8,$M$34:$N$36,2,FALSE)</f>
        <v>120</v>
      </c>
      <c r="I8" s="8">
        <f>ROUND(H8*F8,-3)</f>
        <v>1128000</v>
      </c>
      <c r="J8" s="20"/>
    </row>
    <row r="9" spans="5:11" x14ac:dyDescent="0.3">
      <c r="E9" s="3"/>
      <c r="F9" s="29"/>
      <c r="G9" s="18"/>
      <c r="H9" s="19"/>
      <c r="I9" s="8"/>
      <c r="J9" s="20"/>
    </row>
    <row r="10" spans="5:11" x14ac:dyDescent="0.3">
      <c r="E10" s="3" t="s">
        <v>6</v>
      </c>
      <c r="F10" s="29">
        <v>27400</v>
      </c>
      <c r="G10" s="18" t="s">
        <v>10</v>
      </c>
      <c r="H10" s="19">
        <f t="shared" ref="H10:H11" si="0">VLOOKUP(G10,$M$34:$N$36,2,FALSE)</f>
        <v>80</v>
      </c>
      <c r="I10" s="8">
        <f t="shared" ref="I10:I13" si="1">ROUND(H10*F10,-3)</f>
        <v>2192000</v>
      </c>
      <c r="J10" s="20"/>
    </row>
    <row r="11" spans="5:11" x14ac:dyDescent="0.3">
      <c r="E11" s="3" t="s">
        <v>7</v>
      </c>
      <c r="F11" s="29">
        <v>2000</v>
      </c>
      <c r="G11" s="18" t="s">
        <v>9</v>
      </c>
      <c r="H11" s="19">
        <f t="shared" si="0"/>
        <v>120</v>
      </c>
      <c r="I11" s="8">
        <f t="shared" si="1"/>
        <v>240000</v>
      </c>
      <c r="J11" s="20"/>
    </row>
    <row r="12" spans="5:11" x14ac:dyDescent="0.3">
      <c r="E12" s="3" t="s">
        <v>24</v>
      </c>
      <c r="F12" s="29"/>
      <c r="G12" s="18"/>
      <c r="H12" s="19"/>
      <c r="I12" s="8"/>
      <c r="J12" s="20"/>
    </row>
    <row r="13" spans="5:11" x14ac:dyDescent="0.3">
      <c r="E13" s="3" t="s">
        <v>22</v>
      </c>
      <c r="F13" s="29">
        <v>5000</v>
      </c>
      <c r="G13" s="18" t="s">
        <v>11</v>
      </c>
      <c r="H13" s="19">
        <f>VLOOKUP(G13,$M$34:$N$36,2,FALSE)</f>
        <v>140</v>
      </c>
      <c r="I13" s="8">
        <f t="shared" si="1"/>
        <v>700000</v>
      </c>
      <c r="J13" s="20"/>
    </row>
    <row r="14" spans="5:11" x14ac:dyDescent="0.3">
      <c r="E14" s="3" t="s">
        <v>21</v>
      </c>
      <c r="F14" s="29"/>
      <c r="G14" s="18"/>
      <c r="H14" s="19"/>
      <c r="I14" s="8"/>
      <c r="J14" s="20"/>
    </row>
    <row r="15" spans="5:11" x14ac:dyDescent="0.3">
      <c r="E15" s="3" t="s">
        <v>23</v>
      </c>
      <c r="F15" s="29"/>
      <c r="G15" s="18"/>
      <c r="H15" s="19"/>
      <c r="I15" s="8"/>
      <c r="J15" s="20"/>
    </row>
    <row r="16" spans="5:11" x14ac:dyDescent="0.3">
      <c r="E16" s="3"/>
      <c r="F16" s="29"/>
      <c r="G16" s="18"/>
      <c r="H16" s="19"/>
      <c r="I16" s="8"/>
      <c r="J16" s="20"/>
    </row>
    <row r="17" spans="5:10" x14ac:dyDescent="0.3">
      <c r="E17" s="3"/>
      <c r="F17" s="29"/>
      <c r="G17" s="18"/>
      <c r="H17" s="19"/>
      <c r="I17" s="8"/>
      <c r="J17" s="20"/>
    </row>
    <row r="18" spans="5:10" x14ac:dyDescent="0.3">
      <c r="E18" s="3"/>
      <c r="F18" s="29"/>
      <c r="G18" s="18"/>
      <c r="H18" s="19"/>
      <c r="I18" s="8"/>
      <c r="J18" s="20"/>
    </row>
    <row r="19" spans="5:10" x14ac:dyDescent="0.3">
      <c r="E19" s="3" t="s">
        <v>8</v>
      </c>
      <c r="F19" s="17"/>
      <c r="H19" s="2"/>
      <c r="I19" s="8"/>
      <c r="J19" s="20"/>
    </row>
    <row r="20" spans="5:10" x14ac:dyDescent="0.3">
      <c r="E20" s="3" t="s">
        <v>18</v>
      </c>
      <c r="F20" s="17"/>
      <c r="H20" s="2"/>
      <c r="I20" s="8"/>
      <c r="J20" s="20">
        <f>SUM(I8:I19)</f>
        <v>4260000</v>
      </c>
    </row>
    <row r="21" spans="5:10" x14ac:dyDescent="0.3">
      <c r="E21" s="3"/>
      <c r="F21" s="17"/>
      <c r="H21" s="2"/>
      <c r="I21" s="8"/>
      <c r="J21" s="20"/>
    </row>
    <row r="22" spans="5:10" x14ac:dyDescent="0.3">
      <c r="E22" s="3"/>
      <c r="H22" s="2"/>
      <c r="I22" s="8"/>
      <c r="J22" s="20"/>
    </row>
    <row r="23" spans="5:10" ht="15.6" x14ac:dyDescent="0.3">
      <c r="E23" s="21" t="s">
        <v>12</v>
      </c>
      <c r="H23" s="2"/>
      <c r="I23" s="8"/>
      <c r="J23" s="20"/>
    </row>
    <row r="24" spans="5:10" x14ac:dyDescent="0.3">
      <c r="E24" s="3" t="s">
        <v>9</v>
      </c>
      <c r="H24" s="2"/>
      <c r="I24" s="8"/>
      <c r="J24" s="20">
        <v>2000000</v>
      </c>
    </row>
    <row r="25" spans="5:10" x14ac:dyDescent="0.3">
      <c r="E25" s="3" t="s">
        <v>10</v>
      </c>
      <c r="H25" s="2"/>
      <c r="I25" s="8"/>
      <c r="J25" s="20">
        <v>200000</v>
      </c>
    </row>
    <row r="26" spans="5:10" x14ac:dyDescent="0.3">
      <c r="E26" s="3" t="s">
        <v>11</v>
      </c>
      <c r="H26" s="2"/>
      <c r="I26" s="8"/>
      <c r="J26" s="20">
        <v>3000000</v>
      </c>
    </row>
    <row r="27" spans="5:10" x14ac:dyDescent="0.3">
      <c r="E27" s="3"/>
      <c r="H27" s="2"/>
      <c r="I27" s="8"/>
      <c r="J27" s="20"/>
    </row>
    <row r="28" spans="5:10" ht="15" thickBot="1" x14ac:dyDescent="0.35">
      <c r="E28" s="5" t="s">
        <v>14</v>
      </c>
      <c r="F28" s="22"/>
      <c r="G28" s="22"/>
      <c r="H28" s="23"/>
      <c r="I28" s="24"/>
      <c r="J28" s="25">
        <f>SUM(J20:J26)</f>
        <v>9460000</v>
      </c>
    </row>
    <row r="29" spans="5:10" x14ac:dyDescent="0.3">
      <c r="H29" s="2"/>
      <c r="I29" s="8"/>
      <c r="J29" s="8"/>
    </row>
    <row r="30" spans="5:10" x14ac:dyDescent="0.3">
      <c r="E30" t="s">
        <v>20</v>
      </c>
      <c r="I30" s="7"/>
      <c r="J30" s="28"/>
    </row>
    <row r="31" spans="5:10" x14ac:dyDescent="0.3">
      <c r="I31" s="7"/>
      <c r="J31" s="7"/>
    </row>
    <row r="32" spans="5:10" ht="15" thickBot="1" x14ac:dyDescent="0.35">
      <c r="I32" s="7"/>
      <c r="J32" s="7"/>
    </row>
    <row r="33" spans="13:14" ht="31.8" customHeight="1" thickBot="1" x14ac:dyDescent="0.35">
      <c r="M33" s="80" t="s">
        <v>13</v>
      </c>
      <c r="N33" s="81"/>
    </row>
    <row r="34" spans="13:14" x14ac:dyDescent="0.3">
      <c r="M34" s="6" t="s">
        <v>9</v>
      </c>
      <c r="N34" s="9">
        <v>120</v>
      </c>
    </row>
    <row r="35" spans="13:14" x14ac:dyDescent="0.3">
      <c r="M35" s="3" t="s">
        <v>10</v>
      </c>
      <c r="N35" s="10">
        <v>80</v>
      </c>
    </row>
    <row r="36" spans="13:14" ht="15" thickBot="1" x14ac:dyDescent="0.35">
      <c r="M36" s="5" t="s">
        <v>11</v>
      </c>
      <c r="N36" s="11">
        <v>140</v>
      </c>
    </row>
  </sheetData>
  <mergeCells count="1">
    <mergeCell ref="M33:N3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0de07c1-9fd0-4bb7-bfb4-09fef9c10305" xsi:nil="true"/>
    <lcf76f155ced4ddcb4097134ff3c332f xmlns="0200bcd3-7895-4dda-959a-6382abce5233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AAC5CF04ACC847984487D0AE1DDB98" ma:contentTypeVersion="19" ma:contentTypeDescription="Create a new document." ma:contentTypeScope="" ma:versionID="4a134606661e1a964dc5cfe387c2252b">
  <xsd:schema xmlns:xsd="http://www.w3.org/2001/XMLSchema" xmlns:xs="http://www.w3.org/2001/XMLSchema" xmlns:p="http://schemas.microsoft.com/office/2006/metadata/properties" xmlns:ns2="0200bcd3-7895-4dda-959a-6382abce5233" xmlns:ns3="80de07c1-9fd0-4bb7-bfb4-09fef9c10305" targetNamespace="http://schemas.microsoft.com/office/2006/metadata/properties" ma:root="true" ma:fieldsID="082f40d709d6c4240cacbb3cd6e9a6d2" ns2:_="" ns3:_="">
    <xsd:import namespace="0200bcd3-7895-4dda-959a-6382abce5233"/>
    <xsd:import namespace="80de07c1-9fd0-4bb7-bfb4-09fef9c103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00bcd3-7895-4dda-959a-6382abce52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15275bea-d2d5-48ff-9e03-e3cfe37ae2f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de07c1-9fd0-4bb7-bfb4-09fef9c10305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ff89097d-6151-43ee-8e4c-c1e788623829}" ma:internalName="TaxCatchAll" ma:showField="CatchAllData" ma:web="80de07c1-9fd0-4bb7-bfb4-09fef9c103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6EBE4C7-C8C3-4975-B978-DEEA3A870D16}">
  <ds:schemaRefs>
    <ds:schemaRef ds:uri="http://schemas.microsoft.com/office/2006/metadata/properties"/>
    <ds:schemaRef ds:uri="http://schemas.microsoft.com/office/infopath/2007/PartnerControls"/>
    <ds:schemaRef ds:uri="80de07c1-9fd0-4bb7-bfb4-09fef9c10305"/>
    <ds:schemaRef ds:uri="0200bcd3-7895-4dda-959a-6382abce5233"/>
  </ds:schemaRefs>
</ds:datastoreItem>
</file>

<file path=customXml/itemProps2.xml><?xml version="1.0" encoding="utf-8"?>
<ds:datastoreItem xmlns:ds="http://schemas.openxmlformats.org/officeDocument/2006/customXml" ds:itemID="{DF943098-A935-416B-9963-99EF418AD7B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CD00DB4-3517-4844-8F7D-CAC1CE193E5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200bcd3-7895-4dda-959a-6382abce5233"/>
    <ds:schemaRef ds:uri="80de07c1-9fd0-4bb7-bfb4-09fef9c103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VRH Rates</vt:lpstr>
      <vt:lpstr>costs</vt:lpstr>
      <vt:lpstr>Example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Gordon Shaw</dc:creator>
  <cp:lastModifiedBy>Kira Richardson</cp:lastModifiedBy>
  <dcterms:created xsi:type="dcterms:W3CDTF">2026-08-31T18:13:47Z</dcterms:created>
  <dcterms:modified xsi:type="dcterms:W3CDTF">2026-10-19T22:08:39Z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0x010100F6AAC5CF04ACC847984487D0AE1DDB98</vt:lpwstr>
  </property>
  <property fmtid="{D5CDD505-2E9C-101B-9397-08002B2CF9AE}" pid="3" name="MediaServiceImageTags">
    <vt:lpwstr/>
  </property>
</Properties>
</file>